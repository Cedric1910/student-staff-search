
<file path=[Content_Types].xml><?xml version="1.0" encoding="utf-8"?>
<Types xmlns="http://schemas.openxmlformats.org/package/2006/content-types">
  <Override PartName="/xl/_rels/workbook.xml.rels" ContentType="application/vnd.openxmlformats-package.relationships+xml"/>
  <Override PartName="/xl/comments5.xml" ContentType="application/vnd.openxmlformats-officedocument.spreadsheetml.comments+xml"/>
  <Override PartName="/xl/charts/chart12.xml" ContentType="application/vnd.openxmlformats-officedocument.drawingml.chart+xml"/>
  <Override PartName="/xl/charts/chart11.xml" ContentType="application/vnd.openxmlformats-officedocument.drawingml.chart+xml"/>
  <Override PartName="/xl/comments4.xml" ContentType="application/vnd.openxmlformats-officedocument.spreadsheetml.comments+xml"/>
  <Override PartName="/xl/vbaProject.bin" ContentType="application/vnd.ms-office.vbaProject"/>
  <Override PartName="/xl/worksheets/_rels/sheet5.xml.rels" ContentType="application/vnd.openxmlformats-package.relationships+xml"/>
  <Override PartName="/xl/worksheets/_rels/sheet4.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sheet2.xml" ContentType="application/vnd.openxmlformats-officedocument.spreadsheetml.worksheet+xml"/>
  <Override PartName="/xl/worksheets/sheet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comments3.xml" ContentType="application/vnd.openxmlformats-officedocument.spreadsheetml.comments+xml"/>
  <Override PartName="/xl/drawings/vmlDrawing4.vml" ContentType="application/vnd.openxmlformats-officedocument.vmlDrawing"/>
  <Override PartName="/xl/drawings/drawing4.xml" ContentType="application/vnd.openxmlformats-officedocument.drawing+xml"/>
  <Override PartName="/xl/drawings/vmlDrawing1.vml" ContentType="application/vnd.openxmlformats-officedocument.vmlDrawing"/>
  <Override PartName="/xl/drawings/drawing3.xml" ContentType="application/vnd.openxmlformats-officedocument.drawing+xml"/>
  <Override PartName="/xl/drawings/drawing1.xml" ContentType="application/vnd.openxmlformats-officedocument.drawing+xml"/>
  <Override PartName="/xl/drawings/drawing2.xml" ContentType="application/vnd.openxmlformats-officedocument.drawing+xml"/>
  <Override PartName="/xl/drawings/vmlDrawing2.vml" ContentType="application/vnd.openxmlformats-officedocument.vmlDrawing"/>
  <Override PartName="/xl/drawings/_rels/drawing4.xml.rels" ContentType="application/vnd.openxmlformats-package.relationships+xml"/>
  <Override PartName="/xl/drawings/_rels/drawing3.xml.rels" ContentType="application/vnd.openxmlformats-package.relationships+xml"/>
  <Override PartName="/xl/drawings/vmlDrawing3.vml" ContentType="application/vnd.openxmlformats-officedocument.vmlDrawing"/>
  <Override PartName="/xl/sharedStrings.xml" ContentType="application/vnd.openxmlformats-officedocument.spreadsheetml.sharedStrings+xml"/>
  <Override PartName="/xl/comments2.xml" ContentType="application/vnd.openxmlformats-officedocument.spreadsheetml.comments+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4"/>
  </bookViews>
  <sheets>
    <sheet name="Release Plan" sheetId="1" state="visible" r:id="rId3"/>
    <sheet name="Product Backlog" sheetId="2" state="visible" r:id="rId4"/>
    <sheet name="PB Burndown" sheetId="3" state="visible" r:id="rId5"/>
    <sheet name="Sp1" sheetId="4" state="visible" r:id="rId6"/>
    <sheet name="Sp2" sheetId="5" state="visible" r:id="rId7"/>
    <sheet name="Task Slips" sheetId="6" state="visible" r:id="rId8"/>
  </sheets>
  <definedNames>
    <definedName function="false" hidden="false" name="AverageSpeedLastEight" vbProcedure="false">OFFSET('PB Burndown'!$P$27,1,0,'PB Burndown'!$G$3,1)</definedName>
    <definedName function="false" hidden="false" name="AverageSpeedRealized" vbProcedure="false">OFFSET('PB Burndown'!$O$27,1,0,'PB Burndown'!$G$3,1)</definedName>
    <definedName function="false" hidden="false" name="AverageSpeedWorstThree" vbProcedure="false">OFFSET('PB Burndown'!$Q$27,1,0,'PB Burndown'!$G$3,1)</definedName>
    <definedName function="false" hidden="false" name="ColBottomCurrentScope" vbProcedure="false">OFFSET('PB Burndown'!$I$27,1,0,'PB Burndown'!$G$3,1)</definedName>
    <definedName function="false" hidden="false" name="ColTopRemainingWork" vbProcedure="false">OFFSET('PB Burndown'!$F$27,1,0,'PB Burndown'!$G$3,1)</definedName>
    <definedName function="false" hidden="false" name="DoneDays" vbProcedure="false">#REF!</definedName>
    <definedName function="false" hidden="false" name="ImplementationDays" vbProcedure="false">#REF!</definedName>
    <definedName function="false" hidden="false" name="LastEight" vbProcedure="false">IF('PB Burndown'!$G$4&gt;8,OFFSET('PB Burndown'!$D$27,'PB Burndown'!$G$4-7,0,8,1),OFFSET('PB Burndown'!$D$27,1,0,'PB Burndown'!$G$4-1,1))</definedName>
    <definedName function="false" hidden="false" name="LastPlanned" vbProcedure="false">IF(OFFSET('PB Burndown'!$B$27,1,0,1,1)="",1,OFFSET('PB Burndown'!$B$27,'PB Burndown'!$G$3,0,1,1))</definedName>
    <definedName function="false" hidden="false" name="LastRealized" vbProcedure="false">IF(OFFSET('PB Burndown'!$D$27,1,0,1,1)="",1,OFFSET('PB Burndown'!$D$27,'PB Burndown'!$G$3,0,1,1))</definedName>
    <definedName function="false" hidden="false" name="PBCurrentBottom" vbProcedure="false">OFFSET('PB Burndown'!$N$27,1,0,'PB Burndown'!$G$9,1)</definedName>
    <definedName function="false" hidden="false" name="PBTrend" vbProcedure="false">OFFSET('PB Burndown'!$M$27,1,0,'PB Burndown'!$G$9,1)</definedName>
    <definedName function="false" hidden="false" name="PlannedSpeed" vbProcedure="false">OFFSET('PB Burndown'!$C$27,1,0,'PB Burndown'!$G$3,1)</definedName>
    <definedName function="false" hidden="false" name="ProductBacklog" vbProcedure="false">'Product Backlog'!$A$4:$G$160</definedName>
    <definedName function="false" hidden="false" name="RealizedSpeed" vbProcedure="false">OFFSET('PB Burndown'!$D$27,1,0,'PB Burndown'!$G$3,1)</definedName>
    <definedName function="false" hidden="false" name="Sprint" vbProcedure="false">'Product Backlog'!$E$5:$E$160</definedName>
    <definedName function="false" hidden="false" name="SprintCount" vbProcedure="false">'PB Burndown'!$G$3</definedName>
    <definedName function="false" hidden="false" name="SprintsInTrend" vbProcedure="false">'PB Burndown'!$G$6</definedName>
    <definedName function="false" hidden="false" name="SprintTasks" vbProcedure="false">Sp2!$A$14:$AD$63</definedName>
    <definedName function="false" hidden="false" name="Status" vbProcedure="false">'Product Backlog'!$C$5:$C$160</definedName>
    <definedName function="false" hidden="false" name="StoryName" vbProcedure="false">'Product Backlog'!$B$5:$B$160</definedName>
    <definedName function="false" hidden="false" name="TaskRows" vbProcedure="false">#REF!</definedName>
    <definedName function="false" hidden="false" name="TaskStatus" vbProcedure="false">Sp2!$D$14:$D$58</definedName>
    <definedName function="false" hidden="false" name="TaskStoryID" vbProcedure="false">Sp2!$B$14:$B$53</definedName>
    <definedName function="false" hidden="false" name="TotalEffort" vbProcedure="false">#REF!</definedName>
    <definedName function="false" hidden="false" name="TrendDays" vbProcedure="false">Sp2!$D$13</definedName>
    <definedName function="false" hidden="false" name="TrendOffset" vbProcedure="false">'PB Burndown'!$G$5</definedName>
    <definedName function="false" hidden="false" name="TrendSprintCount" vbProcedure="false">'PB Burndown'!$G$4</definedName>
    <definedName function="false" hidden="false" localSheetId="1" name="Excel_BuiltIn_Print_Area" vbProcedure="false">'Product Backlog'!$A:$G</definedName>
    <definedName function="false" hidden="false" localSheetId="3" name="DoneDays" vbProcedure="false">Sp1!$D$11</definedName>
    <definedName function="false" hidden="false" localSheetId="3" name="ImplementationDays" vbProcedure="false">Sp1!$B$9</definedName>
    <definedName function="false" hidden="false" localSheetId="3" name="RealValues" vbProcedure="false">OFFSET(Sp1!$F$10,0,0,1,Sp1!DoneDays)</definedName>
    <definedName function="false" hidden="false" localSheetId="3" name="SprintTasks" vbProcedure="false">Sp1!$A$14:$AD$63</definedName>
    <definedName function="false" hidden="false" localSheetId="3" name="TaskRows" vbProcedure="false">Sp1!$B$11</definedName>
    <definedName function="false" hidden="false" localSheetId="3" name="TaskStatus" vbProcedure="false">Sp1!$D$14:$D$58</definedName>
    <definedName function="false" hidden="false" localSheetId="3" name="TaskStoryID" vbProcedure="false">Sp1!$B$14:$B$53</definedName>
    <definedName function="false" hidden="false" localSheetId="3" name="TotalEffort" vbProcedure="false">Sp1!$E$10</definedName>
    <definedName function="false" hidden="false" localSheetId="3" name="TrendDays" vbProcedure="false">Sp1!$D$13</definedName>
    <definedName function="false" hidden="false" localSheetId="4" name="DoneDays" vbProcedure="false">Sp2!$D$11</definedName>
    <definedName function="false" hidden="false" localSheetId="4" name="ImplementationDays" vbProcedure="false">Sp2!$B$9</definedName>
    <definedName function="false" hidden="false" localSheetId="4" name="RealValues" vbProcedure="false">OFFSET(Sp2!$F$10,0,0,1,Sp2!DoneDays)</definedName>
    <definedName function="false" hidden="false" localSheetId="4" name="TaskRows" vbProcedure="false">Sp2!$B$11</definedName>
    <definedName function="false" hidden="false" localSheetId="4" name="TotalEffort" vbProcedure="false">Sp2!$E$10</definedName>
    <definedName function="false" hidden="false" localSheetId="5" name="Excel_BuiltIn_Print_Area" vbProcedure="false">'task slips'!#ref!</definedNam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 </author>
  </authors>
  <commentList>
    <comment ref="A4" authorId="0">
      <text>
        <r>
          <rPr>
            <sz val="8"/>
            <color rgb="FF000000"/>
            <rFont val="Tahoma"/>
            <family val="2"/>
            <charset val="1"/>
          </rPr>
          <t xml:space="preserve">Once a Story ID is given to a story, do not change that number or reuse it even if you delete the story.</t>
        </r>
      </text>
    </comment>
    <comment ref="C4" authorId="0">
      <text>
        <r>
          <rPr>
            <b val="true"/>
            <sz val="8"/>
            <color rgb="FF000000"/>
            <rFont val="Tahoma"/>
            <family val="2"/>
            <charset val="1"/>
          </rPr>
          <t xml:space="preserve">Use the following statuses:
</t>
        </r>
        <r>
          <rPr>
            <sz val="8"/>
            <color rgb="FF000000"/>
            <rFont val="Tahoma"/>
            <family val="2"/>
            <charset val="1"/>
          </rPr>
          <t xml:space="preserve">Planned (or empty)
Ongoing
Done
Removed
The sheet uses the above statuses in the formatting and calculation formulas.</t>
        </r>
      </text>
    </comment>
    <comment ref="D4" authorId="0">
      <text>
        <r>
          <rPr>
            <sz val="8"/>
            <color rgb="FF000000"/>
            <rFont val="Tahoma"/>
            <family val="2"/>
            <charset val="1"/>
          </rPr>
          <t xml:space="preserve">Story Points or Ideal Days</t>
        </r>
      </text>
    </comment>
    <comment ref="E4" authorId="0">
      <text>
        <r>
          <rPr>
            <sz val="8"/>
            <color rgb="FF000000"/>
            <rFont val="Tahoma"/>
            <family val="2"/>
            <charset val="1"/>
          </rPr>
          <t xml:space="preserve">Create a release plan by assigning stories to planned sprints. If there are more stories in the backlog than in the plan, leave the remaining stories unassigned to sprints.</t>
        </r>
      </text>
    </comment>
    <comment ref="F4" authorId="0">
      <text>
        <r>
          <rPr>
            <sz val="8"/>
            <color rgb="FF000000"/>
            <rFont val="Tahoma"/>
            <family val="2"/>
            <charset val="1"/>
          </rPr>
          <t xml:space="preserve">You may assign priorities to the stories, but keep in mind that priority does not always equal implementation order.</t>
        </r>
      </text>
    </comment>
  </commentList>
</comments>
</file>

<file path=xl/comments3.xml><?xml version="1.0" encoding="utf-8"?>
<comments xmlns="http://schemas.openxmlformats.org/spreadsheetml/2006/main" xmlns:xdr="http://schemas.openxmlformats.org/drawingml/2006/spreadsheetDrawing">
  <authors>
    <author> </author>
  </authors>
  <commentList>
    <comment ref="B15" authorId="0">
      <text>
        <r>
          <rPr>
            <sz val="8"/>
            <color rgb="FF000000"/>
            <rFont val="Tahoma"/>
            <family val="2"/>
            <charset val="1"/>
          </rPr>
          <t xml:space="preserve">Average estimate * 0,6</t>
        </r>
      </text>
    </comment>
    <comment ref="B17" authorId="0">
      <text>
        <r>
          <rPr>
            <sz val="8"/>
            <color rgb="FF000000"/>
            <rFont val="Tahoma"/>
            <family val="2"/>
            <charset val="1"/>
          </rPr>
          <t xml:space="preserve">Average estimate * 1,6</t>
        </r>
      </text>
    </comment>
    <comment ref="B19" authorId="0">
      <text>
        <r>
          <rPr>
            <sz val="8"/>
            <color rgb="FF000000"/>
            <rFont val="Tahoma"/>
            <family val="2"/>
            <charset val="1"/>
          </rPr>
          <t xml:space="preserve">As of latest Product Backlog estimate</t>
        </r>
      </text>
    </comment>
  </commentList>
</comments>
</file>

<file path=xl/comments4.xml><?xml version="1.0" encoding="utf-8"?>
<comments xmlns="http://schemas.openxmlformats.org/spreadsheetml/2006/main" xmlns:xdr="http://schemas.openxmlformats.org/drawingml/2006/spreadsheetDrawing">
  <authors>
    <author> </author>
  </authors>
  <commentList>
    <comment ref="A9" authorId="0">
      <text>
        <r>
          <rPr>
            <sz val="8"/>
            <color rgb="FF000000"/>
            <rFont val="Tahoma"/>
            <family val="2"/>
            <charset val="1"/>
          </rPr>
          <t xml:space="preserve">Count only active working and implementation days. Do not include Planning Day or Sprint Review.
E.g. a 4-week Sprint would most likely have 18 implementation days.</t>
        </r>
      </text>
    </comment>
  </commentList>
</comments>
</file>

<file path=xl/comments5.xml><?xml version="1.0" encoding="utf-8"?>
<comments xmlns="http://schemas.openxmlformats.org/spreadsheetml/2006/main" xmlns:xdr="http://schemas.openxmlformats.org/drawingml/2006/spreadsheetDrawing">
  <authors>
    <author> </author>
  </authors>
  <commentList>
    <comment ref="A9" authorId="0">
      <text>
        <r>
          <rPr>
            <sz val="8"/>
            <color rgb="FF000000"/>
            <rFont val="Tahoma"/>
            <family val="2"/>
            <charset val="1"/>
          </rPr>
          <t xml:space="preserve">Count only active working and implementation days. Do not include Planning Day or Sprint Review.
E.g. a 4-week Sprint would most likely have 18 implementation days.</t>
        </r>
      </text>
    </comment>
  </commentList>
</comments>
</file>

<file path=xl/sharedStrings.xml><?xml version="1.0" encoding="utf-8"?>
<sst xmlns="http://schemas.openxmlformats.org/spreadsheetml/2006/main" count="243" uniqueCount="150">
  <si>
    <t xml:space="preserve">Increment Plan</t>
  </si>
  <si>
    <t xml:space="preserve">Incr.</t>
  </si>
  <si>
    <t xml:space="preserve">Start</t>
  </si>
  <si>
    <t xml:space="preserve">Days</t>
  </si>
  <si>
    <t xml:space="preserve">End</t>
  </si>
  <si>
    <t xml:space="preserve">Size</t>
  </si>
  <si>
    <t xml:space="preserve">Status</t>
  </si>
  <si>
    <t xml:space="preserve">Release Date</t>
  </si>
  <si>
    <t xml:space="preserve">Goal</t>
  </si>
  <si>
    <t xml:space="preserve">Template note: Increment plan is intended to collect individual sprints into larger releases. In smaller projects, this is not needed.</t>
  </si>
  <si>
    <t xml:space="preserve">Sprint Plan</t>
  </si>
  <si>
    <t xml:space="preserve">Sprint</t>
  </si>
  <si>
    <t xml:space="preserve">Increment</t>
  </si>
  <si>
    <t xml:space="preserve">Planned</t>
  </si>
  <si>
    <t xml:space="preserve">Our goal in sprint 1 is to construct the user interface, relational database modeling with domain/dao classes and user profile setup.</t>
  </si>
  <si>
    <t xml:space="preserve">Our primary focus in sprint 2 is on application functionality, contact/application request and the notification service.</t>
  </si>
  <si>
    <t xml:space="preserve">Our objective in sprint 3 is to perform testing and develop security, error messages and overall system robustness. Features such as a forwarding system and customer deletion will be developed if there is enough time remaining in the sprint. We will also spend time creating thorough setup instructions to ensure this system can be set up and run by the company using this package.</t>
  </si>
  <si>
    <t xml:space="preserve">Unallocated stories</t>
  </si>
  <si>
    <t xml:space="preserve">Product Backlog</t>
  </si>
  <si>
    <t xml:space="preserve"> </t>
  </si>
  <si>
    <t xml:space="preserve">Story ID</t>
  </si>
  <si>
    <t xml:space="preserve">Story name</t>
  </si>
  <si>
    <t xml:space="preserve">Priority</t>
  </si>
  <si>
    <t xml:space="preserve">Comments</t>
  </si>
  <si>
    <t xml:space="preserve">Login System</t>
  </si>
  <si>
    <t xml:space="preserve">Users should be able to login to the system to edit profiles and use the system</t>
  </si>
  <si>
    <t xml:space="preserve">Student Search for Appropriate Professors</t>
  </si>
  <si>
    <t xml:space="preserve">Student Users should be able to enter their research ideas etc. and receive a filtered list of appropriate professors to contact</t>
  </si>
  <si>
    <t xml:space="preserve">Straightforward User Interface</t>
  </si>
  <si>
    <t xml:space="preserve">The UI should be straightforward to use e.g. users shouldn’t have to follow several links to perform a simple task using the system</t>
  </si>
  <si>
    <t xml:space="preserve">Professor Profile Setup</t>
  </si>
  <si>
    <t xml:space="preserve">Professors should be able to set up a profile for student searches to match against (and use keywords/tags)</t>
  </si>
  <si>
    <t xml:space="preserve">Contact Request System</t>
  </si>
  <si>
    <t xml:space="preserve">Students should be able to request an email to be sent to their selected professor</t>
  </si>
  <si>
    <t xml:space="preserve">Security</t>
  </si>
  <si>
    <t xml:space="preserve">The data of the users should be protected e.g. the system shouldn’t be vulnerable to SQL injections, XSS attacks etc.</t>
  </si>
  <si>
    <t xml:space="preserve">Forwarding/Recommending system</t>
  </si>
  <si>
    <t xml:space="preserve">Professors should be able to forward student applications to other professors who they think would be better options for the student, </t>
  </si>
  <si>
    <t xml:space="preserve">Functional entity relational database</t>
  </si>
  <si>
    <t xml:space="preserve">Database should be structured efficiently as an ERD, with approprite domains and DAOs.</t>
  </si>
  <si>
    <t xml:space="preserve">Error Messages and Testing</t>
  </si>
  <si>
    <t xml:space="preserve">The system should provide useful error messages to the user (and provide user with an error code)</t>
  </si>
  <si>
    <t xml:space="preserve">Contact Request Approval/Denial</t>
  </si>
  <si>
    <t xml:space="preserve">Professors should be able to accept or deny student requests to contact them about research.</t>
  </si>
  <si>
    <t xml:space="preserve">Student Profile Setup</t>
  </si>
  <si>
    <t xml:space="preserve">Student Users should be able to create profiles with their research ideas, contact information etc.</t>
  </si>
  <si>
    <t xml:space="preserve">Student Email Notification</t>
  </si>
  <si>
    <t xml:space="preserve">Students should be notified by email when a professor approves or declines their contact request.</t>
  </si>
  <si>
    <t xml:space="preserve">Robust HTTP requests/responses</t>
  </si>
  <si>
    <t xml:space="preserve">HTTP GET/POST/PULL requests and responses work accordingly and are reliable/aren't prone to errors.</t>
  </si>
  <si>
    <t xml:space="preserve">User differentiation</t>
  </si>
  <si>
    <t xml:space="preserve">System should be able to differentiate between student and lecturer profiles upon login and direct to respective home page.</t>
  </si>
  <si>
    <t xml:space="preserve">Notification Page</t>
  </si>
  <si>
    <t xml:space="preserve">Both users should be able to view all their notifications on one page.</t>
  </si>
  <si>
    <t xml:space="preserve">Professor availability check</t>
  </si>
  <si>
    <t xml:space="preserve">Professors should be able to check a box telling the system wether they are free or not to conduct studies with a student. </t>
  </si>
  <si>
    <t xml:space="preserve">Provide efficient setup instructions</t>
  </si>
  <si>
    <t xml:space="preserve">Simple, but thorough setup instructions should be created so the system can be set up accordingly by the company that provides this service.</t>
  </si>
  <si>
    <t xml:space="preserve">Delete account or hide account option</t>
  </si>
  <si>
    <t xml:space="preserve">Users (professors or students) should have the option to delete or hide their account if they no longer want to use this service or want to "hide" their account temporarily from being searched.</t>
  </si>
  <si>
    <t xml:space="preserve">Product Backlog Burndown Chart</t>
  </si>
  <si>
    <t xml:space="preserve">Original planned size</t>
  </si>
  <si>
    <t xml:space="preserve">Sprint count</t>
  </si>
  <si>
    <t xml:space="preserve">Count trend from last</t>
  </si>
  <si>
    <t xml:space="preserve">sprints</t>
  </si>
  <si>
    <t xml:space="preserve">Trend sprint count</t>
  </si>
  <si>
    <t xml:space="preserve">Trend offset</t>
  </si>
  <si>
    <t xml:space="preserve">Note:</t>
  </si>
  <si>
    <t xml:space="preserve">Velocity (points per sprint)</t>
  </si>
  <si>
    <t xml:space="preserve">Sprints in Trend</t>
  </si>
  <si>
    <t xml:space="preserve">In this chart, the tops of the bars show the amount of actual </t>
  </si>
  <si>
    <t xml:space="preserve">Original estimate</t>
  </si>
  <si>
    <t xml:space="preserve">(or planned) implemented functionality at the beginning of each sprint. </t>
  </si>
  <si>
    <t xml:space="preserve">The bottoms of the bars show the changes in project scope</t>
  </si>
  <si>
    <t xml:space="preserve">Realized total average</t>
  </si>
  <si>
    <t xml:space="preserve">Trend count</t>
  </si>
  <si>
    <t xml:space="preserve">(i.e. if the amount of story points</t>
  </si>
  <si>
    <t xml:space="preserve">Average last 8</t>
  </si>
  <si>
    <t xml:space="preserve">in the project increases, the bottoms move lower). The length</t>
  </si>
  <si>
    <t xml:space="preserve">Avg. worst 3 in last 8</t>
  </si>
  <si>
    <t xml:space="preserve">of the bars indicate the estimated size of the project at the</t>
  </si>
  <si>
    <t xml:space="preserve">Trend</t>
  </si>
  <si>
    <t xml:space="preserve">beginning of each sprint. </t>
  </si>
  <si>
    <t xml:space="preserve">These hidden cells are used to draw the graph on this page. DO NOT DELETE!</t>
  </si>
  <si>
    <t xml:space="preserve">The red line indicates the current planned scope.</t>
  </si>
  <si>
    <t xml:space="preserve">Predictions - Completion at the end of sprint…</t>
  </si>
  <si>
    <t xml:space="preserve">Original estimate - Min</t>
  </si>
  <si>
    <t xml:space="preserve">Original estimate - Avg</t>
  </si>
  <si>
    <t xml:space="preserve">Original estimate - Max</t>
  </si>
  <si>
    <t xml:space="preserve">Standard Dev.</t>
  </si>
  <si>
    <t xml:space="preserve">Realized average</t>
  </si>
  <si>
    <t xml:space="preserve">LastPlanned</t>
  </si>
  <si>
    <t xml:space="preserve">LastRealized</t>
  </si>
  <si>
    <t xml:space="preserve">Realized + St. Dev</t>
  </si>
  <si>
    <t xml:space="preserve">Realized - St. Dev</t>
  </si>
  <si>
    <t xml:space="preserve">Average Speeds</t>
  </si>
  <si>
    <t xml:space="preserve">Remain.Work</t>
  </si>
  <si>
    <t xml:space="preserve">Planned Work</t>
  </si>
  <si>
    <t xml:space="preserve">Realized Work</t>
  </si>
  <si>
    <t xml:space="preserve">Current Total Size</t>
  </si>
  <si>
    <t xml:space="preserve">Col top</t>
  </si>
  <si>
    <t xml:space="preserve">Do not delete…</t>
  </si>
  <si>
    <t xml:space="preserve">Col bottom</t>
  </si>
  <si>
    <t xml:space="preserve">Trend Help</t>
  </si>
  <si>
    <t xml:space="preserve">Raw Trend</t>
  </si>
  <si>
    <t xml:space="preserve">Real Trend</t>
  </si>
  <si>
    <t xml:space="preserve">Current Bottom</t>
  </si>
  <si>
    <t xml:space="preserve">Realized</t>
  </si>
  <si>
    <t xml:space="preserve">Last 8</t>
  </si>
  <si>
    <t xml:space="preserve">Worst 3 in Last 8</t>
  </si>
  <si>
    <t xml:space="preserve">Sprint implementation days</t>
  </si>
  <si>
    <t xml:space="preserve">Effort</t>
  </si>
  <si>
    <t xml:space="preserve">Remaining on implementation day…</t>
  </si>
  <si>
    <t xml:space="preserve">Trend calculated based on last</t>
  </si>
  <si>
    <t xml:space="preserve">Totals</t>
  </si>
  <si>
    <t xml:space="preserve">Task rows</t>
  </si>
  <si>
    <t xml:space="preserve">Done days</t>
  </si>
  <si>
    <t xml:space="preserve">Warning! These are necessary</t>
  </si>
  <si>
    <t xml:space="preserve">template rows</t>
  </si>
  <si>
    <t xml:space="preserve">Trend Days</t>
  </si>
  <si>
    <t xml:space="preserve">Task name</t>
  </si>
  <si>
    <t xml:space="preserve">Responsible</t>
  </si>
  <si>
    <t xml:space="preserve">Est.</t>
  </si>
  <si>
    <t xml:space="preserve">Login system</t>
  </si>
  <si>
    <t xml:space="preserve">Julia McDowell</t>
  </si>
  <si>
    <t xml:space="preserve">Julia McDowell &amp; Carly Ryan</t>
  </si>
  <si>
    <t xml:space="preserve">Professor profile setup</t>
  </si>
  <si>
    <t xml:space="preserve">Cedric Stephani/Hugo Baird</t>
  </si>
  <si>
    <t xml:space="preserve">Functional Entity Relational Database</t>
  </si>
  <si>
    <t xml:space="preserve">Leon Hoogenraad</t>
  </si>
  <si>
    <t xml:space="preserve">Student profile setup </t>
  </si>
  <si>
    <t xml:space="preserve">Robust HTTP request/responses</t>
  </si>
  <si>
    <t xml:space="preserve">Sprint 2 Backlog</t>
  </si>
  <si>
    <t xml:space="preserve">All Members</t>
  </si>
  <si>
    <t xml:space="preserve">Cedric Stephani</t>
  </si>
  <si>
    <t xml:space="preserve">Hugo Baird</t>
  </si>
  <si>
    <t xml:space="preserve">User Differentiation</t>
  </si>
  <si>
    <t xml:space="preserve">Carly Ryan</t>
  </si>
  <si>
    <t xml:space="preserve">Story ID:</t>
  </si>
  <si>
    <t xml:space="preserve">Story:</t>
  </si>
  <si>
    <t xml:space="preserve">This is a sample story</t>
  </si>
  <si>
    <t xml:space="preserve">Task:</t>
  </si>
  <si>
    <t xml:space="preserve">Example task</t>
  </si>
  <si>
    <t xml:space="preserve">Initial 
Estimate</t>
  </si>
  <si>
    <t xml:space="preserve">Work 
Done</t>
  </si>
  <si>
    <t xml:space="preserve">Work 
Left</t>
  </si>
  <si>
    <t xml:space="preserve">Example task 2</t>
  </si>
  <si>
    <t xml:space="preserve">This is another sample story</t>
  </si>
  <si>
    <t xml:space="preserve">Example task 3</t>
  </si>
  <si>
    <t xml:space="preserve">&lt;Delete these example lines&gt;</t>
  </si>
</sst>
</file>

<file path=xl/styles.xml><?xml version="1.0" encoding="utf-8"?>
<styleSheet xmlns="http://schemas.openxmlformats.org/spreadsheetml/2006/main">
  <numFmts count="8">
    <numFmt numFmtId="164" formatCode="General"/>
    <numFmt numFmtId="165" formatCode="D\.M\.YYYY;@"/>
    <numFmt numFmtId="166" formatCode="D/MM/YYYY"/>
    <numFmt numFmtId="167" formatCode="MMM\-YY"/>
    <numFmt numFmtId="168" formatCode="&quot;Last &quot;###&quot; sprints&quot;"/>
    <numFmt numFmtId="169" formatCode="0.0"/>
    <numFmt numFmtId="170" formatCode="0"/>
    <numFmt numFmtId="171" formatCode="&quot;Sprint &quot;#&quot; Backlog&quot;"/>
  </numFmts>
  <fonts count="18">
    <font>
      <sz val="10"/>
      <name val="Arial"/>
      <family val="0"/>
      <charset val="1"/>
    </font>
    <font>
      <sz val="10"/>
      <name val="Arial"/>
      <family val="0"/>
    </font>
    <font>
      <sz val="10"/>
      <name val="Arial"/>
      <family val="0"/>
    </font>
    <font>
      <sz val="10"/>
      <name val="Arial"/>
      <family val="0"/>
    </font>
    <font>
      <sz val="14"/>
      <name val="Arial"/>
      <family val="0"/>
      <charset val="1"/>
    </font>
    <font>
      <b val="true"/>
      <sz val="10"/>
      <name val="Arial"/>
      <family val="2"/>
      <charset val="1"/>
    </font>
    <font>
      <i val="true"/>
      <sz val="10"/>
      <color rgb="FF0000FF"/>
      <name val="Arial"/>
      <family val="2"/>
      <charset val="1"/>
    </font>
    <font>
      <sz val="8"/>
      <color rgb="FF000000"/>
      <name val="Tahoma"/>
      <family val="2"/>
      <charset val="1"/>
    </font>
    <font>
      <b val="true"/>
      <sz val="8"/>
      <color rgb="FF000000"/>
      <name val="Tahoma"/>
      <family val="2"/>
      <charset val="1"/>
    </font>
    <font>
      <sz val="10"/>
      <color rgb="FF000000"/>
      <name val="Arial"/>
      <family val="0"/>
    </font>
    <font>
      <b val="true"/>
      <sz val="10"/>
      <color rgb="FFFF0000"/>
      <name val="Arial"/>
      <family val="2"/>
      <charset val="1"/>
    </font>
    <font>
      <sz val="10"/>
      <color rgb="FFFF0000"/>
      <name val="Arial"/>
      <family val="2"/>
      <charset val="1"/>
    </font>
    <font>
      <sz val="14"/>
      <name val="Arial"/>
      <family val="2"/>
      <charset val="1"/>
    </font>
    <font>
      <sz val="10"/>
      <color rgb="FF000000"/>
      <name val="Calibri"/>
      <family val="2"/>
    </font>
    <font>
      <sz val="5.5"/>
      <color rgb="FF000000"/>
      <name val="Arial"/>
      <family val="2"/>
    </font>
    <font>
      <sz val="8"/>
      <color rgb="FF000000"/>
      <name val="Arial"/>
      <family val="2"/>
    </font>
    <font>
      <sz val="6.75"/>
      <color rgb="FF000000"/>
      <name val="Arial"/>
      <family val="2"/>
    </font>
    <font>
      <b val="true"/>
      <sz val="14"/>
      <name val="Arial"/>
      <family val="2"/>
      <charset val="1"/>
    </font>
  </fonts>
  <fills count="4">
    <fill>
      <patternFill patternType="none"/>
    </fill>
    <fill>
      <patternFill patternType="gray125"/>
    </fill>
    <fill>
      <patternFill patternType="solid">
        <fgColor rgb="FFFFCC99"/>
        <bgColor rgb="FFFFBFBF"/>
      </patternFill>
    </fill>
    <fill>
      <patternFill patternType="solid">
        <fgColor rgb="FFFFFF99"/>
        <bgColor rgb="FFFFFFCC"/>
      </patternFill>
    </fill>
  </fills>
  <borders count="33">
    <border diagonalUp="false" diagonalDown="false">
      <left/>
      <right/>
      <top/>
      <bottom/>
      <diagonal/>
    </border>
    <border diagonalUp="false" diagonalDown="false">
      <left style="thin">
        <color rgb="FF303030"/>
      </left>
      <right/>
      <top style="thin">
        <color rgb="FF303030"/>
      </top>
      <bottom style="thin">
        <color rgb="FF303030"/>
      </bottom>
      <diagonal/>
    </border>
    <border diagonalUp="false" diagonalDown="false">
      <left/>
      <right/>
      <top style="thin">
        <color rgb="FF303030"/>
      </top>
      <bottom style="thin">
        <color rgb="FF303030"/>
      </bottom>
      <diagonal/>
    </border>
    <border diagonalUp="false" diagonalDown="false">
      <left/>
      <right/>
      <top style="thin">
        <color rgb="FF303030"/>
      </top>
      <bottom/>
      <diagonal/>
    </border>
    <border diagonalUp="false" diagonalDown="false">
      <left/>
      <right style="thin">
        <color rgb="FF303030"/>
      </right>
      <top style="thin">
        <color rgb="FF303030"/>
      </top>
      <bottom style="thin">
        <color rgb="FF303030"/>
      </bottom>
      <diagonal/>
    </border>
    <border diagonalUp="false" diagonalDown="false">
      <left style="thin">
        <color rgb="FF303030"/>
      </left>
      <right/>
      <top style="thin">
        <color rgb="FF303030"/>
      </top>
      <bottom/>
      <diagonal/>
    </border>
    <border diagonalUp="false" diagonalDown="false">
      <left/>
      <right style="thin">
        <color rgb="FF303030"/>
      </right>
      <top style="thin">
        <color rgb="FF303030"/>
      </top>
      <bottom/>
      <diagonal/>
    </border>
    <border diagonalUp="false" diagonalDown="false">
      <left style="thin">
        <color rgb="FF303030"/>
      </left>
      <right/>
      <top/>
      <bottom/>
      <diagonal/>
    </border>
    <border diagonalUp="false" diagonalDown="false">
      <left/>
      <right style="thin">
        <color rgb="FF303030"/>
      </right>
      <top/>
      <bottom/>
      <diagonal/>
    </border>
    <border diagonalUp="false" diagonalDown="false">
      <left style="thin">
        <color rgb="FF303030"/>
      </left>
      <right/>
      <top/>
      <bottom style="thin">
        <color rgb="FF303030"/>
      </bottom>
      <diagonal/>
    </border>
    <border diagonalUp="false" diagonalDown="false">
      <left/>
      <right/>
      <top/>
      <bottom style="thin">
        <color rgb="FF303030"/>
      </bottom>
      <diagonal/>
    </border>
    <border diagonalUp="false" diagonalDown="false">
      <left/>
      <right style="thin">
        <color rgb="FF303030"/>
      </right>
      <top/>
      <bottom style="thin">
        <color rgb="FF303030"/>
      </bottom>
      <diagonal/>
    </border>
    <border diagonalUp="false" diagonalDown="false">
      <left style="thin">
        <color rgb="FF303030"/>
      </left>
      <right style="thin">
        <color rgb="FF303030"/>
      </right>
      <top style="thin">
        <color rgb="FF303030"/>
      </top>
      <bottom style="thin">
        <color rgb="FF303030"/>
      </bottom>
      <diagonal/>
    </border>
    <border diagonalUp="false" diagonalDown="false">
      <left style="thin">
        <color rgb="FF303030"/>
      </left>
      <right style="thin">
        <color rgb="FF303030"/>
      </right>
      <top/>
      <bottom/>
      <diagonal/>
    </border>
    <border diagonalUp="false" diagonalDown="false">
      <left style="thin">
        <color rgb="FF303030"/>
      </left>
      <right style="thin">
        <color rgb="FF303030"/>
      </right>
      <top/>
      <bottom style="thin">
        <color rgb="FF303030"/>
      </bottom>
      <diagonal/>
    </border>
    <border diagonalUp="false" diagonalDown="false">
      <left/>
      <right/>
      <top/>
      <bottom style="medium">
        <color rgb="FF303030"/>
      </bottom>
      <diagonal/>
    </border>
    <border diagonalUp="false" diagonalDown="false">
      <left style="medium">
        <color rgb="FF303030"/>
      </left>
      <right/>
      <top style="medium">
        <color rgb="FF303030"/>
      </top>
      <bottom style="thin">
        <color rgb="FF303030"/>
      </bottom>
      <diagonal/>
    </border>
    <border diagonalUp="false" diagonalDown="false">
      <left/>
      <right style="thin">
        <color rgb="FF303030"/>
      </right>
      <top style="medium">
        <color rgb="FF303030"/>
      </top>
      <bottom style="thin">
        <color rgb="FF303030"/>
      </bottom>
      <diagonal/>
    </border>
    <border diagonalUp="false" diagonalDown="false">
      <left style="thin">
        <color rgb="FF303030"/>
      </left>
      <right/>
      <top style="medium">
        <color rgb="FF303030"/>
      </top>
      <bottom style="thin">
        <color rgb="FF303030"/>
      </bottom>
      <diagonal/>
    </border>
    <border diagonalUp="false" diagonalDown="false">
      <left/>
      <right/>
      <top style="medium">
        <color rgb="FF303030"/>
      </top>
      <bottom style="thin">
        <color rgb="FF303030"/>
      </bottom>
      <diagonal/>
    </border>
    <border diagonalUp="false" diagonalDown="false">
      <left/>
      <right style="medium">
        <color rgb="FF303030"/>
      </right>
      <top style="medium">
        <color rgb="FF303030"/>
      </top>
      <bottom style="thin">
        <color rgb="FF303030"/>
      </bottom>
      <diagonal/>
    </border>
    <border diagonalUp="false" diagonalDown="false">
      <left style="medium">
        <color rgb="FF303030"/>
      </left>
      <right/>
      <top style="thin">
        <color rgb="FF303030"/>
      </top>
      <bottom/>
      <diagonal/>
    </border>
    <border diagonalUp="false" diagonalDown="false">
      <left/>
      <right style="medium">
        <color rgb="FF303030"/>
      </right>
      <top style="thin">
        <color rgb="FF303030"/>
      </top>
      <bottom/>
      <diagonal/>
    </border>
    <border diagonalUp="false" diagonalDown="false">
      <left style="medium">
        <color rgb="FF303030"/>
      </left>
      <right/>
      <top/>
      <bottom/>
      <diagonal/>
    </border>
    <border diagonalUp="false" diagonalDown="false">
      <left/>
      <right style="medium">
        <color rgb="FF303030"/>
      </right>
      <top/>
      <bottom/>
      <diagonal/>
    </border>
    <border diagonalUp="false" diagonalDown="false">
      <left style="medium">
        <color rgb="FF303030"/>
      </left>
      <right/>
      <top/>
      <bottom style="thin">
        <color rgb="FF303030"/>
      </bottom>
      <diagonal/>
    </border>
    <border diagonalUp="false" diagonalDown="false">
      <left/>
      <right style="medium">
        <color rgb="FF303030"/>
      </right>
      <top/>
      <bottom style="thin">
        <color rgb="FF303030"/>
      </bottom>
      <diagonal/>
    </border>
    <border diagonalUp="false" diagonalDown="false">
      <left style="medium">
        <color rgb="FF303030"/>
      </left>
      <right/>
      <top style="thin">
        <color rgb="FF303030"/>
      </top>
      <bottom style="thin">
        <color rgb="FF303030"/>
      </bottom>
      <diagonal/>
    </border>
    <border diagonalUp="false" diagonalDown="false">
      <left/>
      <right style="medium">
        <color rgb="FF303030"/>
      </right>
      <top style="thin">
        <color rgb="FF303030"/>
      </top>
      <bottom style="thin">
        <color rgb="FF303030"/>
      </bottom>
      <diagonal/>
    </border>
    <border diagonalUp="false" diagonalDown="false">
      <left style="medium">
        <color rgb="FF303030"/>
      </left>
      <right/>
      <top style="thin">
        <color rgb="FF303030"/>
      </top>
      <bottom style="medium">
        <color rgb="FF303030"/>
      </bottom>
      <diagonal/>
    </border>
    <border diagonalUp="false" diagonalDown="false">
      <left/>
      <right style="thin">
        <color rgb="FF303030"/>
      </right>
      <top style="thin">
        <color rgb="FF303030"/>
      </top>
      <bottom style="medium">
        <color rgb="FF303030"/>
      </bottom>
      <diagonal/>
    </border>
    <border diagonalUp="false" diagonalDown="false">
      <left style="thin">
        <color rgb="FF303030"/>
      </left>
      <right/>
      <top style="thin">
        <color rgb="FF303030"/>
      </top>
      <bottom style="medium">
        <color rgb="FF303030"/>
      </bottom>
      <diagonal/>
    </border>
    <border diagonalUp="false" diagonalDown="false">
      <left/>
      <right style="medium">
        <color rgb="FF303030"/>
      </right>
      <top style="thin">
        <color rgb="FF303030"/>
      </top>
      <bottom style="medium">
        <color rgb="FF303030"/>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0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0" borderId="1" xfId="0" applyFont="true" applyBorder="true" applyAlignment="true" applyProtection="false">
      <alignment horizontal="center" vertical="bottom" textRotation="0" wrapText="false" indent="0" shrinkToFit="false"/>
      <protection locked="true" hidden="false"/>
    </xf>
    <xf numFmtId="164" fontId="5" fillId="0" borderId="2" xfId="0" applyFont="true" applyBorder="true" applyAlignment="true" applyProtection="false">
      <alignment horizontal="center" vertical="bottom" textRotation="0" wrapText="false" indent="0" shrinkToFit="false"/>
      <protection locked="true" hidden="false"/>
    </xf>
    <xf numFmtId="164" fontId="5" fillId="0" borderId="3" xfId="0" applyFont="true" applyBorder="true" applyAlignment="true" applyProtection="false">
      <alignment horizontal="center" vertical="bottom" textRotation="0" wrapText="false" indent="0" shrinkToFit="false"/>
      <protection locked="true" hidden="false"/>
    </xf>
    <xf numFmtId="164" fontId="5" fillId="0" borderId="2" xfId="0" applyFont="true" applyBorder="true" applyAlignment="false" applyProtection="false">
      <alignment horizontal="general" vertical="bottom" textRotation="0" wrapText="false" indent="0" shrinkToFit="false"/>
      <protection locked="true" hidden="false"/>
    </xf>
    <xf numFmtId="164" fontId="5" fillId="0" borderId="4" xfId="0" applyFont="true" applyBorder="tru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0" fillId="2" borderId="5" xfId="0" applyFont="false" applyBorder="true" applyAlignment="true" applyProtection="false">
      <alignment horizontal="center" vertical="bottom" textRotation="0" wrapText="false" indent="0" shrinkToFit="false"/>
      <protection locked="true" hidden="false"/>
    </xf>
    <xf numFmtId="165" fontId="0" fillId="2" borderId="3" xfId="0" applyFont="false" applyBorder="true" applyAlignment="true" applyProtection="false">
      <alignment horizontal="center" vertical="bottom" textRotation="0" wrapText="false" indent="0" shrinkToFit="false"/>
      <protection locked="true" hidden="false"/>
    </xf>
    <xf numFmtId="164" fontId="0" fillId="2" borderId="3" xfId="0" applyFont="false" applyBorder="true" applyAlignment="true" applyProtection="false">
      <alignment horizontal="center" vertical="bottom" textRotation="0" wrapText="false" indent="0" shrinkToFit="false"/>
      <protection locked="true" hidden="false"/>
    </xf>
    <xf numFmtId="164" fontId="0" fillId="2" borderId="0"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5" fontId="0" fillId="0" borderId="3" xfId="0" applyFont="false" applyBorder="true" applyAlignment="true" applyProtection="false">
      <alignment horizontal="center" vertical="bottom"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2" borderId="7" xfId="0" applyFont="false" applyBorder="true" applyAlignment="true" applyProtection="false">
      <alignment horizontal="center" vertical="bottom" textRotation="0" wrapText="false" indent="0" shrinkToFit="false"/>
      <protection locked="true" hidden="false"/>
    </xf>
    <xf numFmtId="165" fontId="0" fillId="2" borderId="0" xfId="0" applyFont="false" applyBorder="true" applyAlignment="true" applyProtection="false">
      <alignment horizontal="center" vertical="bottom" textRotation="0" wrapText="false" indent="0" shrinkToFit="false"/>
      <protection locked="true" hidden="false"/>
    </xf>
    <xf numFmtId="165" fontId="0" fillId="0" borderId="0" xfId="0" applyFont="false" applyBorder="true" applyAlignment="true" applyProtection="false">
      <alignment horizontal="center" vertical="bottom" textRotation="0" wrapText="false" indent="0" shrinkToFit="false"/>
      <protection locked="true" hidden="false"/>
    </xf>
    <xf numFmtId="164" fontId="0" fillId="0" borderId="8" xfId="0" applyFont="false" applyBorder="true" applyAlignment="false" applyProtection="false">
      <alignment horizontal="general" vertical="bottom" textRotation="0" wrapText="false" indent="0" shrinkToFit="false"/>
      <protection locked="true" hidden="false"/>
    </xf>
    <xf numFmtId="164" fontId="0" fillId="2" borderId="9" xfId="0" applyFont="false" applyBorder="true" applyAlignment="true" applyProtection="false">
      <alignment horizontal="center" vertical="bottom" textRotation="0" wrapText="false" indent="0" shrinkToFit="false"/>
      <protection locked="true" hidden="false"/>
    </xf>
    <xf numFmtId="165" fontId="0" fillId="2" borderId="10" xfId="0" applyFont="false" applyBorder="true" applyAlignment="true" applyProtection="false">
      <alignment horizontal="center" vertical="bottom" textRotation="0" wrapText="false" indent="0" shrinkToFit="false"/>
      <protection locked="true" hidden="false"/>
    </xf>
    <xf numFmtId="164" fontId="0" fillId="2" borderId="10" xfId="0" applyFont="false" applyBorder="true" applyAlignment="true" applyProtection="false">
      <alignment horizontal="center" vertical="bottom" textRotation="0" wrapText="false" indent="0" shrinkToFit="false"/>
      <protection locked="true" hidden="false"/>
    </xf>
    <xf numFmtId="164" fontId="0" fillId="0" borderId="10" xfId="0" applyFont="false" applyBorder="true" applyAlignment="false" applyProtection="false">
      <alignment horizontal="general" vertical="bottom" textRotation="0" wrapText="false" indent="0" shrinkToFit="false"/>
      <protection locked="true" hidden="false"/>
    </xf>
    <xf numFmtId="165" fontId="0" fillId="0" borderId="10" xfId="0" applyFont="false" applyBorder="true" applyAlignment="true" applyProtection="false">
      <alignment horizontal="center" vertical="bottom" textRotation="0" wrapText="false" indent="0" shrinkToFit="false"/>
      <protection locked="tru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5" fillId="0" borderId="6" xfId="0" applyFont="true" applyBorder="true" applyAlignment="false" applyProtection="false">
      <alignment horizontal="general" vertical="bottom" textRotation="0" wrapText="false" indent="0" shrinkToFit="false"/>
      <protection locked="true" hidden="false"/>
    </xf>
    <xf numFmtId="164" fontId="5" fillId="0" borderId="12" xfId="0" applyFont="true" applyBorder="true" applyAlignment="true" applyProtection="false">
      <alignment horizontal="center" vertical="bottom" textRotation="0" wrapText="false" indent="0" shrinkToFit="false"/>
      <protection locked="true" hidden="false"/>
    </xf>
    <xf numFmtId="166" fontId="0" fillId="0" borderId="0"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6" fontId="0" fillId="2" borderId="0" xfId="0" applyFont="false" applyBorder="true" applyAlignment="true" applyProtection="false">
      <alignment horizontal="center" vertical="bottom" textRotation="0" wrapText="false" indent="0" shrinkToFit="false"/>
      <protection locked="true" hidden="false"/>
    </xf>
    <xf numFmtId="164" fontId="0" fillId="0" borderId="6" xfId="0" applyFont="true" applyBorder="true" applyAlignment="true" applyProtection="false">
      <alignment horizontal="left" vertical="bottom" textRotation="0" wrapText="false" indent="0" shrinkToFit="false"/>
      <protection locked="true" hidden="false"/>
    </xf>
    <xf numFmtId="164" fontId="0" fillId="0" borderId="8" xfId="0" applyFont="false" applyBorder="true" applyAlignment="true" applyProtection="false">
      <alignment horizontal="center" vertical="bottom" textRotation="0" wrapText="false" indent="0" shrinkToFit="false"/>
      <protection locked="true" hidden="false"/>
    </xf>
    <xf numFmtId="164" fontId="0" fillId="0" borderId="8" xfId="0" applyFont="true" applyBorder="true" applyAlignment="true" applyProtection="false">
      <alignment horizontal="left" vertical="bottom" textRotation="0" wrapText="false" indent="0" shrinkToFit="false"/>
      <protection locked="true" hidden="false"/>
    </xf>
    <xf numFmtId="164" fontId="0" fillId="0" borderId="13" xfId="0" applyFont="false" applyBorder="true" applyAlignment="true" applyProtection="false">
      <alignment horizontal="center" vertical="bottom" textRotation="0" wrapText="false" indent="0" shrinkToFit="false"/>
      <protection locked="true" hidden="false"/>
    </xf>
    <xf numFmtId="164" fontId="0" fillId="0" borderId="11" xfId="0" applyFont="false" applyBorder="true" applyAlignment="true" applyProtection="false">
      <alignment horizontal="left" vertical="bottom" textRotation="0" wrapText="false" indent="0" shrinkToFit="false"/>
      <protection locked="true" hidden="false"/>
    </xf>
    <xf numFmtId="164" fontId="0" fillId="0" borderId="14" xfId="0" applyFont="false" applyBorder="true" applyAlignment="true" applyProtection="false">
      <alignment horizontal="center" vertical="bottom"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5" fillId="0" borderId="3" xfId="0" applyFont="tru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top" textRotation="0" wrapText="false" indent="0" shrinkToFit="false"/>
      <protection locked="true" hidden="false"/>
    </xf>
    <xf numFmtId="164" fontId="0" fillId="0" borderId="0" xfId="0" applyFont="false" applyBorder="false" applyAlignment="true" applyProtection="false">
      <alignment horizontal="general" vertical="top" textRotation="0" wrapText="tru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4" fillId="0" borderId="0" xfId="0" applyFont="true" applyBorder="false" applyAlignment="true" applyProtection="false">
      <alignment horizontal="general" vertical="top" textRotation="0" wrapText="false" indent="0" shrinkToFit="false"/>
      <protection locked="true" hidden="false"/>
    </xf>
    <xf numFmtId="164" fontId="4" fillId="0" borderId="0" xfId="0" applyFont="true" applyBorder="false" applyAlignment="true" applyProtection="false">
      <alignment horizontal="center" vertical="top" textRotation="0" wrapText="false" indent="0" shrinkToFit="false"/>
      <protection locked="true" hidden="false"/>
    </xf>
    <xf numFmtId="167" fontId="0" fillId="0" borderId="0" xfId="0" applyFont="false" applyBorder="false" applyAlignment="true" applyProtection="false">
      <alignment horizontal="center" vertical="top" textRotation="0" wrapText="false" indent="0" shrinkToFit="false"/>
      <protection locked="true" hidden="false"/>
    </xf>
    <xf numFmtId="164" fontId="5" fillId="2" borderId="15" xfId="0" applyFont="true" applyBorder="true" applyAlignment="true" applyProtection="false">
      <alignment horizontal="center" vertical="top" textRotation="0" wrapText="false" indent="0" shrinkToFit="false"/>
      <protection locked="true" hidden="false"/>
    </xf>
    <xf numFmtId="164" fontId="5" fillId="2" borderId="15" xfId="0" applyFont="true" applyBorder="tru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center" vertical="top"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8" fontId="0" fillId="0" borderId="0" xfId="0" applyFont="false" applyBorder="true" applyAlignment="true" applyProtection="false">
      <alignment horizontal="left" vertical="bottom" textRotation="0" wrapText="false" indent="0" shrinkToFit="false"/>
      <protection locked="true" hidden="false"/>
    </xf>
    <xf numFmtId="169" fontId="0" fillId="3" borderId="0" xfId="0" applyFont="false" applyBorder="false" applyAlignment="false" applyProtection="false">
      <alignment horizontal="general" vertical="bottom" textRotation="0" wrapText="fals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70" fontId="0" fillId="3" borderId="0" xfId="0" applyFont="false" applyBorder="false" applyAlignment="false" applyProtection="false">
      <alignment horizontal="general" vertical="bottom" textRotation="0" wrapText="false" indent="0" shrinkToFit="false"/>
      <protection locked="true" hidden="false"/>
    </xf>
    <xf numFmtId="164" fontId="5" fillId="2" borderId="0" xfId="0" applyFont="true" applyBorder="true" applyAlignment="true" applyProtection="false">
      <alignment horizontal="center" vertical="bottom" textRotation="0" wrapText="true" indent="0" shrinkToFit="false"/>
      <protection locked="true" hidden="false"/>
    </xf>
    <xf numFmtId="164" fontId="5" fillId="2" borderId="15" xfId="0" applyFont="true" applyBorder="true" applyAlignment="true" applyProtection="false">
      <alignment horizontal="center" vertical="bottom" textRotation="0" wrapText="false" indent="0" shrinkToFit="false"/>
      <protection locked="true" hidden="false"/>
    </xf>
    <xf numFmtId="164" fontId="5" fillId="2" borderId="15" xfId="0" applyFont="true" applyBorder="true" applyAlignment="true" applyProtection="false">
      <alignment horizontal="general" vertical="bottom" textRotation="0" wrapText="true" indent="0" shrinkToFit="false"/>
      <protection locked="true" hidden="false"/>
    </xf>
    <xf numFmtId="164" fontId="5" fillId="2" borderId="15" xfId="0" applyFont="true" applyBorder="true" applyAlignment="true" applyProtection="false">
      <alignment horizontal="center" vertical="bottom" textRotation="0" wrapText="true" indent="0" shrinkToFit="false"/>
      <protection locked="true" hidden="false"/>
    </xf>
    <xf numFmtId="164" fontId="11" fillId="2" borderId="0" xfId="0" applyFont="true" applyBorder="true" applyAlignment="true" applyProtection="false">
      <alignment horizontal="center"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5" fillId="2" borderId="0" xfId="0" applyFont="true" applyBorder="true" applyAlignment="true" applyProtection="false">
      <alignment horizontal="left"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0" fillId="3" borderId="0" xfId="0" applyFont="false" applyBorder="false" applyAlignment="true" applyProtection="false">
      <alignment horizontal="center" vertical="bottom" textRotation="0" wrapText="fals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71" fontId="12" fillId="0" borderId="0" xfId="0" applyFont="true" applyBorder="false" applyAlignment="true" applyProtection="false">
      <alignment horizontal="left" vertical="top" textRotation="0" wrapText="false" indent="0" shrinkToFit="false"/>
      <protection locked="true" hidden="false"/>
    </xf>
    <xf numFmtId="171" fontId="12" fillId="0" borderId="0" xfId="0" applyFont="true" applyBorder="false" applyAlignment="true" applyProtection="false">
      <alignment horizontal="center" vertical="top" textRotation="0" wrapText="false" indent="0" shrinkToFit="false"/>
      <protection locked="true" hidden="false"/>
    </xf>
    <xf numFmtId="164" fontId="5" fillId="2" borderId="0" xfId="0" applyFont="true" applyBorder="false" applyAlignment="true" applyProtection="false">
      <alignment horizontal="general" vertical="top" textRotation="0" wrapText="false" indent="0" shrinkToFit="false"/>
      <protection locked="true" hidden="false"/>
    </xf>
    <xf numFmtId="164" fontId="0" fillId="2" borderId="0" xfId="0" applyFont="false" applyBorder="false" applyAlignment="true" applyProtection="false">
      <alignment horizontal="general" vertical="top" textRotation="0" wrapText="false" indent="0" shrinkToFit="false"/>
      <protection locked="true" hidden="false"/>
    </xf>
    <xf numFmtId="164" fontId="5" fillId="0" borderId="0" xfId="0" applyFont="true" applyBorder="false" applyAlignment="true" applyProtection="false">
      <alignment horizontal="center" vertical="top" textRotation="0" wrapText="false" indent="0" shrinkToFit="false"/>
      <protection locked="true" hidden="false"/>
    </xf>
    <xf numFmtId="164" fontId="5" fillId="2"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top" textRotation="0" wrapText="false" indent="0" shrinkToFit="false"/>
      <protection locked="true" hidden="false"/>
    </xf>
    <xf numFmtId="171" fontId="12" fillId="0" borderId="0" xfId="0" applyFont="true" applyBorder="false" applyAlignment="true" applyProtection="false">
      <alignment horizontal="left" vertical="bottom" textRotation="0" wrapText="false" indent="0" shrinkToFit="false"/>
      <protection locked="true" hidden="false"/>
    </xf>
    <xf numFmtId="171" fontId="12" fillId="0" borderId="0" xfId="0" applyFont="true" applyBorder="false" applyAlignment="true" applyProtection="false">
      <alignment horizontal="center" vertical="bottom" textRotation="0" wrapText="false" indent="0" shrinkToFit="false"/>
      <protection locked="true" hidden="false"/>
    </xf>
    <xf numFmtId="164" fontId="5" fillId="2" borderId="0" xfId="0" applyFont="tru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5" fillId="2" borderId="0" xfId="0" applyFont="true" applyBorder="false" applyAlignment="true" applyProtection="false">
      <alignment horizontal="general" vertical="bottom" textRotation="0" wrapText="false" indent="0" shrinkToFit="false"/>
      <protection locked="true" hidden="false"/>
    </xf>
    <xf numFmtId="164" fontId="0" fillId="2" borderId="0" xfId="0" applyFont="false" applyBorder="false" applyAlignment="tru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center" vertical="bottom" textRotation="0" wrapText="false" indent="0" shrinkToFit="false"/>
      <protection locked="true" hidden="false"/>
    </xf>
    <xf numFmtId="164" fontId="5" fillId="2" borderId="0" xfId="0" applyFont="true" applyBorder="false" applyAlignment="true" applyProtection="false">
      <alignment horizontal="center" vertical="bottom" textRotation="0" wrapText="false" indent="0" shrinkToFit="false"/>
      <protection locked="true" hidden="false"/>
    </xf>
    <xf numFmtId="164" fontId="0" fillId="0" borderId="16" xfId="0" applyFont="true" applyBorder="true" applyAlignment="true" applyProtection="false">
      <alignment horizontal="general" vertical="top" textRotation="0" wrapText="false" indent="0" shrinkToFit="false"/>
      <protection locked="true" hidden="false"/>
    </xf>
    <xf numFmtId="164" fontId="5" fillId="0" borderId="17" xfId="0" applyFont="true" applyBorder="true" applyAlignment="true" applyProtection="false">
      <alignment horizontal="center" vertical="top" textRotation="0" wrapText="false" indent="0" shrinkToFit="false"/>
      <protection locked="true" hidden="false"/>
    </xf>
    <xf numFmtId="164" fontId="0" fillId="0" borderId="18" xfId="0" applyFont="true" applyBorder="true" applyAlignment="true" applyProtection="false">
      <alignment horizontal="general" vertical="top" textRotation="0" wrapText="false" indent="0" shrinkToFit="false"/>
      <protection locked="true" hidden="false"/>
    </xf>
    <xf numFmtId="164" fontId="0" fillId="0" borderId="19" xfId="0" applyFont="true" applyBorder="true" applyAlignment="true" applyProtection="false">
      <alignment horizontal="general" vertical="top" textRotation="0" wrapText="false" indent="0" shrinkToFit="false"/>
      <protection locked="true" hidden="false"/>
    </xf>
    <xf numFmtId="164" fontId="0" fillId="0" borderId="20" xfId="0" applyFont="false" applyBorder="true" applyAlignment="true" applyProtection="false">
      <alignment horizontal="general" vertical="top" textRotation="0" wrapText="false" indent="0" shrinkToFit="false"/>
      <protection locked="true" hidden="false"/>
    </xf>
    <xf numFmtId="164" fontId="0" fillId="0" borderId="21" xfId="0" applyFont="true" applyBorder="true" applyAlignment="true" applyProtection="false">
      <alignment horizontal="general" vertical="top" textRotation="0" wrapText="false" indent="0" shrinkToFit="false"/>
      <protection locked="true" hidden="false"/>
    </xf>
    <xf numFmtId="164" fontId="0" fillId="0" borderId="3" xfId="0" applyFont="true" applyBorder="true" applyAlignment="true" applyProtection="false">
      <alignment horizontal="general" vertical="top" textRotation="0" wrapText="false" indent="0" shrinkToFit="false"/>
      <protection locked="true" hidden="false"/>
    </xf>
    <xf numFmtId="164" fontId="0" fillId="0" borderId="22" xfId="0" applyFont="false" applyBorder="true" applyAlignment="true" applyProtection="false">
      <alignment horizontal="general" vertical="top" textRotation="0" wrapText="false" indent="0" shrinkToFit="false"/>
      <protection locked="true" hidden="false"/>
    </xf>
    <xf numFmtId="164" fontId="0" fillId="0" borderId="23" xfId="0" applyFont="false" applyBorder="true" applyAlignment="true" applyProtection="false">
      <alignment horizontal="general" vertical="top" textRotation="0" wrapText="false" indent="0" shrinkToFit="false"/>
      <protection locked="true" hidden="false"/>
    </xf>
    <xf numFmtId="164" fontId="0" fillId="0" borderId="0" xfId="0" applyFont="false" applyBorder="true" applyAlignment="true" applyProtection="false">
      <alignment horizontal="general" vertical="top" textRotation="0" wrapText="false" indent="0" shrinkToFit="false"/>
      <protection locked="true" hidden="false"/>
    </xf>
    <xf numFmtId="164" fontId="0" fillId="0" borderId="24" xfId="0" applyFont="false" applyBorder="true" applyAlignment="true" applyProtection="false">
      <alignment horizontal="general" vertical="top" textRotation="0" wrapText="false" indent="0" shrinkToFit="false"/>
      <protection locked="true" hidden="false"/>
    </xf>
    <xf numFmtId="164" fontId="0" fillId="0" borderId="25" xfId="0" applyFont="false" applyBorder="true" applyAlignment="true" applyProtection="false">
      <alignment horizontal="general" vertical="top" textRotation="0" wrapText="false" indent="0" shrinkToFit="false"/>
      <protection locked="true" hidden="false"/>
    </xf>
    <xf numFmtId="164" fontId="0" fillId="0" borderId="10" xfId="0" applyFont="false" applyBorder="true" applyAlignment="true" applyProtection="false">
      <alignment horizontal="general" vertical="top" textRotation="0" wrapText="false" indent="0" shrinkToFit="false"/>
      <protection locked="true" hidden="false"/>
    </xf>
    <xf numFmtId="164" fontId="0" fillId="0" borderId="26" xfId="0" applyFont="false" applyBorder="true" applyAlignment="true" applyProtection="false">
      <alignment horizontal="general" vertical="top" textRotation="0" wrapText="false" indent="0" shrinkToFit="false"/>
      <protection locked="true" hidden="false"/>
    </xf>
    <xf numFmtId="164" fontId="0" fillId="0" borderId="27" xfId="0" applyFont="false" applyBorder="true" applyAlignment="true" applyProtection="false">
      <alignment horizontal="general" vertical="top" textRotation="0" wrapText="false" indent="0" shrinkToFit="false"/>
      <protection locked="true" hidden="false"/>
    </xf>
    <xf numFmtId="164" fontId="0" fillId="0" borderId="2" xfId="0" applyFont="false" applyBorder="true" applyAlignment="true" applyProtection="false">
      <alignment horizontal="general" vertical="top" textRotation="0" wrapText="false" indent="0" shrinkToFit="false"/>
      <protection locked="true" hidden="false"/>
    </xf>
    <xf numFmtId="164" fontId="0" fillId="0" borderId="28" xfId="0" applyFont="false" applyBorder="true" applyAlignment="true" applyProtection="false">
      <alignment horizontal="general" vertical="top" textRotation="0" wrapText="false" indent="0" shrinkToFit="false"/>
      <protection locked="true" hidden="false"/>
    </xf>
    <xf numFmtId="164" fontId="0" fillId="0" borderId="29" xfId="0" applyFont="true" applyBorder="true" applyAlignment="true" applyProtection="false">
      <alignment horizontal="general" vertical="top" textRotation="0" wrapText="true" indent="0" shrinkToFit="false"/>
      <protection locked="true" hidden="false"/>
    </xf>
    <xf numFmtId="164" fontId="17" fillId="0" borderId="30" xfId="0" applyFont="true" applyBorder="true" applyAlignment="true" applyProtection="false">
      <alignment horizontal="center" vertical="center" textRotation="0" wrapText="false" indent="0" shrinkToFit="false"/>
      <protection locked="true" hidden="false"/>
    </xf>
    <xf numFmtId="164" fontId="0" fillId="0" borderId="31" xfId="0" applyFont="true" applyBorder="true" applyAlignment="true" applyProtection="false">
      <alignment horizontal="general" vertical="top" textRotation="0" wrapText="true" indent="0" shrinkToFit="false"/>
      <protection locked="true" hidden="false"/>
    </xf>
    <xf numFmtId="164" fontId="0" fillId="0" borderId="30" xfId="0" applyFont="false" applyBorder="true" applyAlignment="true" applyProtection="false">
      <alignment horizontal="general" vertical="top" textRotation="0" wrapText="false" indent="0" shrinkToFit="false"/>
      <protection locked="true" hidden="false"/>
    </xf>
    <xf numFmtId="164" fontId="0" fillId="0" borderId="32" xfId="0" applyFont="false" applyBorder="true" applyAlignment="true" applyProtection="false">
      <alignment horizontal="general" vertical="top"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dxfs count="30">
    <dxf>
      <font>
        <b val="0"/>
        <color rgb="FF666699"/>
      </font>
    </dxf>
    <dxf>
      <font>
        <b val="1"/>
        <i val="0"/>
      </font>
    </dxf>
    <dxf>
      <font>
        <b val="0"/>
        <color rgb="FF666699"/>
      </font>
    </dxf>
    <dxf>
      <font>
        <b val="1"/>
        <i val="0"/>
      </font>
    </dxf>
    <dxf>
      <font>
        <b val="0"/>
        <color rgb="FFFFFFFF"/>
      </font>
    </dxf>
    <dxf>
      <font>
        <b val="0"/>
        <color rgb="FF666699"/>
      </font>
    </dxf>
    <dxf>
      <font>
        <b val="1"/>
        <i val="0"/>
      </font>
    </dxf>
    <dxf>
      <font>
        <b val="0"/>
        <color rgb="FF666699"/>
      </font>
    </dxf>
    <dxf>
      <font>
        <b val="1"/>
        <i val="0"/>
      </font>
    </dxf>
    <dxf>
      <font>
        <b val="0"/>
        <color rgb="FF666699"/>
      </font>
    </dxf>
    <dxf>
      <font>
        <b val="1"/>
        <i val="0"/>
      </font>
    </dxf>
    <dxf>
      <font>
        <b val="0"/>
        <color rgb="FFFFFFFF"/>
      </font>
    </dxf>
    <dxf>
      <font>
        <b val="0"/>
        <color rgb="FF666699"/>
      </font>
    </dxf>
    <dxf>
      <font>
        <b val="1"/>
        <i val="0"/>
      </font>
    </dxf>
    <dxf>
      <fill>
        <patternFill>
          <bgColor rgb="FFCCFFCC"/>
        </patternFill>
      </fill>
    </dxf>
    <dxf>
      <fill>
        <patternFill>
          <bgColor rgb="FFFFFF99"/>
        </patternFill>
      </fill>
    </dxf>
    <dxf>
      <fill>
        <patternFill>
          <bgColor rgb="FFFFBFBF"/>
        </patternFill>
      </fill>
    </dxf>
    <dxf>
      <fill>
        <patternFill>
          <bgColor rgb="FFCCFFCC"/>
        </patternFill>
      </fill>
    </dxf>
    <dxf>
      <fill>
        <patternFill>
          <bgColor rgb="FFFFFF99"/>
        </patternFill>
      </fill>
    </dxf>
    <dxf>
      <font>
        <b val="0"/>
        <color rgb="FF666699"/>
      </font>
    </dxf>
    <dxf>
      <font>
        <b val="1"/>
        <i val="0"/>
      </font>
    </dxf>
    <dxf>
      <font>
        <b val="0"/>
        <color rgb="FF666699"/>
      </font>
    </dxf>
    <dxf>
      <font>
        <b val="0"/>
        <color rgb="FF666699"/>
      </font>
    </dxf>
    <dxf>
      <font>
        <b val="1"/>
        <i val="0"/>
      </font>
    </dxf>
    <dxf>
      <font>
        <b val="0"/>
        <color rgb="FF666699"/>
      </font>
    </dxf>
    <dxf>
      <font>
        <b val="1"/>
        <i val="0"/>
      </font>
    </dxf>
    <dxf>
      <font>
        <b val="0"/>
        <color rgb="FF666699"/>
      </font>
    </dxf>
    <dxf>
      <font>
        <b val="1"/>
        <i val="0"/>
      </font>
    </dxf>
    <dxf>
      <font>
        <b val="0"/>
        <color rgb="FF666699"/>
      </font>
    </dxf>
    <dxf>
      <font>
        <b val="1"/>
        <i val="0"/>
      </font>
    </dxf>
  </dxfs>
  <colors>
    <indexedColors>
      <rgbColor rgb="FF000000"/>
      <rgbColor rgb="FFFFFFFF"/>
      <rgbColor rgb="FFFF0000"/>
      <rgbColor rgb="FF00FF00"/>
      <rgbColor rgb="FF0000FF"/>
      <rgbColor rgb="FFFFFF00"/>
      <rgbColor rgb="FFFF00FF"/>
      <rgbColor rgb="FF00FFFF"/>
      <rgbColor rgb="FF800000"/>
      <rgbColor rgb="FF008000"/>
      <rgbColor rgb="FF000080"/>
      <rgbColor rgb="FF8B8B8B"/>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BFBF"/>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0303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sharedStrings" Target="sharedStrings.xml"/>
</Relationships>
</file>

<file path=xl/charts/chart11.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179511242914524"/>
          <c:y val="0.117406701171343"/>
          <c:w val="0.81620931716656"/>
          <c:h val="0.800871697085263"/>
        </c:manualLayout>
      </c:layout>
      <c:barChart>
        <c:barDir val="col"/>
        <c:grouping val="clustered"/>
        <c:varyColors val="0"/>
        <c:ser>
          <c:idx val="0"/>
          <c:order val="0"/>
          <c:spPr>
            <a:solidFill>
              <a:srgbClr val="9999ff"/>
            </a:solidFill>
            <a:ln w="12600">
              <a:solidFill>
                <a:srgbClr val="000000"/>
              </a:solidFill>
              <a:round/>
            </a:ln>
          </c:spPr>
          <c:invertIfNegative val="0"/>
          <c:dLbls>
            <c:numFmt formatCode="General" sourceLinked="1"/>
            <c:dLblPos val="outEnd"/>
            <c:showLegendKey val="0"/>
            <c:showVal val="0"/>
            <c:showCatName val="0"/>
            <c:showSerName val="0"/>
            <c:showPercent val="0"/>
            <c:showLeaderLines val="0"/>
          </c:dLbls>
          <c:val>
            <c:numRef>
              <c:f>Sp1!$F$10:$AD$10</c:f>
              <c:numCache>
                <c:formatCode>General</c:formatCode>
                <c:ptCount val="25"/>
                <c:pt idx="0">
                  <c:v>37</c:v>
                </c:pt>
                <c:pt idx="1">
                  <c:v>34</c:v>
                </c:pt>
                <c:pt idx="2">
                  <c:v>31</c:v>
                </c:pt>
                <c:pt idx="3">
                  <c:v>26</c:v>
                </c:pt>
                <c:pt idx="4">
                  <c:v>25</c:v>
                </c:pt>
                <c:pt idx="5">
                  <c:v>23</c:v>
                </c:pt>
                <c:pt idx="6">
                  <c:v>20</c:v>
                </c:pt>
                <c:pt idx="7">
                  <c:v>17</c:v>
                </c:pt>
                <c:pt idx="8">
                  <c:v>14</c:v>
                </c:pt>
                <c:pt idx="9">
                  <c:v>12</c:v>
                </c:pt>
                <c:pt idx="10">
                  <c:v>11</c:v>
                </c:pt>
                <c:pt idx="11">
                  <c:v>7</c:v>
                </c:pt>
                <c:pt idx="12">
                  <c:v>5</c:v>
                </c:pt>
                <c:pt idx="13">
                  <c:v/>
                </c:pt>
                <c:pt idx="14">
                  <c:v/>
                </c:pt>
                <c:pt idx="15">
                  <c:v/>
                </c:pt>
                <c:pt idx="16">
                  <c:v/>
                </c:pt>
                <c:pt idx="17">
                  <c:v/>
                </c:pt>
                <c:pt idx="18">
                  <c:v/>
                </c:pt>
                <c:pt idx="19">
                  <c:v/>
                </c:pt>
                <c:pt idx="20">
                  <c:v/>
                </c:pt>
                <c:pt idx="21">
                  <c:v/>
                </c:pt>
                <c:pt idx="22">
                  <c:v/>
                </c:pt>
                <c:pt idx="23">
                  <c:v/>
                </c:pt>
                <c:pt idx="24">
                  <c:v/>
                </c:pt>
              </c:numCache>
            </c:numRef>
          </c:val>
        </c:ser>
        <c:ser>
          <c:idx val="1"/>
          <c:order val="1"/>
          <c:spPr>
            <a:solidFill>
              <a:srgbClr val="9999ff"/>
            </a:solidFill>
            <a:ln w="12600">
              <a:solidFill>
                <a:srgbClr val="969696"/>
              </a:solidFill>
              <a:round/>
            </a:ln>
          </c:spPr>
          <c:invertIfNegative val="0"/>
          <c:dLbls>
            <c:numFmt formatCode="General" sourceLinked="1"/>
            <c:dLblPos val="outEnd"/>
            <c:showLegendKey val="0"/>
            <c:showVal val="0"/>
            <c:showCatName val="0"/>
            <c:showSerName val="0"/>
            <c:showPercent val="0"/>
            <c:showLeaderLines val="0"/>
          </c:dLbls>
          <c:val>
            <c:numRef>
              <c:f>Sp1!$F$11:$AD$11</c:f>
              <c:numCache>
                <c:formatCode>General</c:formatCode>
                <c:ptCount val="25"/>
                <c:pt idx="0">
                  <c:v>40</c:v>
                </c:pt>
                <c:pt idx="1">
                  <c:v>37.1428571428571</c:v>
                </c:pt>
                <c:pt idx="2">
                  <c:v>34.2857142857143</c:v>
                </c:pt>
                <c:pt idx="3">
                  <c:v>31.4285714285714</c:v>
                </c:pt>
                <c:pt idx="4">
                  <c:v>28.5714285714286</c:v>
                </c:pt>
                <c:pt idx="5">
                  <c:v>25.7142857142857</c:v>
                </c:pt>
                <c:pt idx="6">
                  <c:v>22.8571428571429</c:v>
                </c:pt>
                <c:pt idx="7">
                  <c:v>20</c:v>
                </c:pt>
                <c:pt idx="8">
                  <c:v>17.1428571428571</c:v>
                </c:pt>
                <c:pt idx="9">
                  <c:v>14.2857142857143</c:v>
                </c:pt>
                <c:pt idx="10">
                  <c:v>11.4285714285714</c:v>
                </c:pt>
                <c:pt idx="11">
                  <c:v>8.57142857142857</c:v>
                </c:pt>
                <c:pt idx="12">
                  <c:v>5.71428571428572</c:v>
                </c:pt>
                <c:pt idx="13">
                  <c:v>2.85714285714285</c:v>
                </c:pt>
                <c:pt idx="14">
                  <c:v/>
                </c:pt>
                <c:pt idx="15">
                  <c:v/>
                </c:pt>
                <c:pt idx="16">
                  <c:v/>
                </c:pt>
                <c:pt idx="17">
                  <c:v/>
                </c:pt>
                <c:pt idx="18">
                  <c:v/>
                </c:pt>
                <c:pt idx="19">
                  <c:v/>
                </c:pt>
                <c:pt idx="20">
                  <c:v/>
                </c:pt>
                <c:pt idx="21">
                  <c:v/>
                </c:pt>
                <c:pt idx="22">
                  <c:v/>
                </c:pt>
                <c:pt idx="23">
                  <c:v/>
                </c:pt>
                <c:pt idx="24">
                  <c:v/>
                </c:pt>
              </c:numCache>
            </c:numRef>
          </c:val>
        </c:ser>
        <c:gapWidth val="150"/>
        <c:overlap val="0"/>
        <c:axId val="48224031"/>
        <c:axId val="92079044"/>
      </c:barChart>
      <c:lineChart>
        <c:grouping val="standard"/>
        <c:varyColors val="0"/>
        <c:ser>
          <c:idx val="2"/>
          <c:order val="2"/>
          <c:spPr>
            <a:solidFill>
              <a:srgbClr val="0000ff"/>
            </a:solidFill>
            <a:ln w="3240">
              <a:solidFill>
                <a:srgbClr val="0000ff"/>
              </a:solidFill>
              <a:round/>
            </a:ln>
          </c:spPr>
          <c:marker>
            <c:symbol val="none"/>
          </c:marker>
          <c:dLbls>
            <c:numFmt formatCode="General" sourceLinked="1"/>
            <c:dLblPos val="r"/>
            <c:showLegendKey val="0"/>
            <c:showVal val="0"/>
            <c:showCatName val="0"/>
            <c:showSerName val="0"/>
            <c:showPercent val="0"/>
            <c:showLeaderLines val="0"/>
          </c:dLbls>
          <c:val>
            <c:numRef>
              <c:f>Sp1!$F$12:$AD$12</c:f>
              <c:numCache>
                <c:formatCode>General</c:formatCode>
                <c:ptCount val="25"/>
                <c:pt idx="0">
                  <c:v>35.8791208791209</c:v>
                </c:pt>
                <c:pt idx="1">
                  <c:v>33.2582417582418</c:v>
                </c:pt>
                <c:pt idx="2">
                  <c:v>30.6373626373626</c:v>
                </c:pt>
                <c:pt idx="3">
                  <c:v>28.0164835164835</c:v>
                </c:pt>
                <c:pt idx="4">
                  <c:v>25.3956043956044</c:v>
                </c:pt>
                <c:pt idx="5">
                  <c:v>22.7747252747253</c:v>
                </c:pt>
                <c:pt idx="6">
                  <c:v>20.1538461538461</c:v>
                </c:pt>
                <c:pt idx="7">
                  <c:v>17.532967032967</c:v>
                </c:pt>
                <c:pt idx="8">
                  <c:v>14.9120879120879</c:v>
                </c:pt>
                <c:pt idx="9">
                  <c:v>12.2912087912088</c:v>
                </c:pt>
                <c:pt idx="10">
                  <c:v>9.67032967032966</c:v>
                </c:pt>
                <c:pt idx="11">
                  <c:v>7.04945054945054</c:v>
                </c:pt>
                <c:pt idx="12">
                  <c:v>4.42857142857142</c:v>
                </c:pt>
                <c:pt idx="13">
                  <c:v>1.8076923076923</c:v>
                </c:pt>
                <c:pt idx="14">
                  <c:v/>
                </c:pt>
                <c:pt idx="15">
                  <c:v/>
                </c:pt>
                <c:pt idx="16">
                  <c:v/>
                </c:pt>
                <c:pt idx="17">
                  <c:v/>
                </c:pt>
                <c:pt idx="18">
                  <c:v/>
                </c:pt>
                <c:pt idx="19">
                  <c:v/>
                </c:pt>
                <c:pt idx="20">
                  <c:v/>
                </c:pt>
                <c:pt idx="21">
                  <c:v/>
                </c:pt>
                <c:pt idx="22">
                  <c:v/>
                </c:pt>
                <c:pt idx="23">
                  <c:v/>
                </c:pt>
                <c:pt idx="24">
                  <c:v/>
                </c:pt>
              </c:numCache>
            </c:numRef>
          </c:val>
          <c:smooth val="0"/>
        </c:ser>
        <c:hiLowLines>
          <c:spPr>
            <a:ln>
              <a:noFill/>
            </a:ln>
          </c:spPr>
        </c:hiLowLines>
        <c:marker val="0"/>
        <c:axId val="41492939"/>
        <c:axId val="88916289"/>
      </c:lineChart>
      <c:catAx>
        <c:axId val="48224031"/>
        <c:scaling>
          <c:orientation val="minMax"/>
        </c:scaling>
        <c:delete val="1"/>
        <c:axPos val="b"/>
        <c:numFmt formatCode="General" sourceLinked="1"/>
        <c:majorTickMark val="out"/>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92079044"/>
        <c:crosses val="autoZero"/>
        <c:auto val="1"/>
        <c:lblAlgn val="ctr"/>
        <c:lblOffset val="100"/>
      </c:catAx>
      <c:valAx>
        <c:axId val="92079044"/>
        <c:scaling>
          <c:orientation val="minMax"/>
          <c:min val="0"/>
        </c:scaling>
        <c:delete val="0"/>
        <c:axPos val="l"/>
        <c:title>
          <c:tx>
            <c:rich>
              <a:bodyPr rot="-5400000"/>
              <a:lstStyle/>
              <a:p>
                <a:pPr>
                  <a:defRPr b="0" sz="800" spc="-1" strike="noStrike">
                    <a:solidFill>
                      <a:srgbClr val="000000"/>
                    </a:solidFill>
                    <a:latin typeface="Arial"/>
                    <a:ea typeface="Arial"/>
                  </a:defRPr>
                </a:pPr>
                <a:r>
                  <a:rPr b="0" sz="800" spc="-1" strike="noStrike">
                    <a:solidFill>
                      <a:srgbClr val="000000"/>
                    </a:solidFill>
                    <a:latin typeface="Arial"/>
                    <a:ea typeface="Arial"/>
                  </a:rPr>
                  <a:t>Work Remaining (h)</a:t>
                </a:r>
              </a:p>
            </c:rich>
          </c:tx>
          <c:layout>
            <c:manualLayout>
              <c:xMode val="edge"/>
              <c:yMode val="edge"/>
              <c:x val="0.142497841510567"/>
              <c:y val="0.153909016616726"/>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b="0" sz="550" spc="-1" strike="noStrike">
                <a:solidFill>
                  <a:srgbClr val="000000"/>
                </a:solidFill>
                <a:latin typeface="Arial"/>
                <a:ea typeface="Arial"/>
              </a:defRPr>
            </a:pPr>
          </a:p>
        </c:txPr>
        <c:crossAx val="48224031"/>
        <c:crossesAt val="1"/>
      </c:valAx>
      <c:catAx>
        <c:axId val="41492939"/>
        <c:scaling>
          <c:orientation val="minMax"/>
        </c:scaling>
        <c:delete val="1"/>
        <c:axPos val="t"/>
        <c:numFmt formatCode="General" sourceLinked="1"/>
        <c:majorTickMark val="out"/>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88916289"/>
        <c:crosses val="autoZero"/>
        <c:auto val="1"/>
        <c:lblAlgn val="ctr"/>
        <c:lblOffset val="100"/>
      </c:catAx>
      <c:valAx>
        <c:axId val="88916289"/>
        <c:scaling>
          <c:orientation val="minMax"/>
          <c:min val="0"/>
        </c:scaling>
        <c:delete val="1"/>
        <c:axPos val="r"/>
        <c:title>
          <c:tx>
            <c:rich>
              <a:bodyPr rot="-5400000"/>
              <a:lstStyle/>
              <a:p>
                <a:pPr>
                  <a:defRPr b="0" sz="800" spc="-1" strike="noStrike">
                    <a:solidFill>
                      <a:srgbClr val="000000"/>
                    </a:solidFill>
                    <a:latin typeface="Arial"/>
                    <a:ea typeface="Arial"/>
                  </a:defRPr>
                </a:pPr>
                <a:r>
                  <a:rPr b="0" sz="800" spc="-1" strike="noStrike">
                    <a:solidFill>
                      <a:srgbClr val="000000"/>
                    </a:solidFill>
                    <a:latin typeface="Arial"/>
                    <a:ea typeface="Arial"/>
                  </a:rPr>
                  <a:t>Work Remaining (h)</a:t>
                </a:r>
              </a:p>
            </c:rich>
          </c:tx>
          <c:layout>
            <c:manualLayout>
              <c:xMode val="edge"/>
              <c:yMode val="edge"/>
              <c:x val="0.142497841510567"/>
              <c:y val="0.153909016616726"/>
            </c:manualLayout>
          </c:layout>
          <c:overlay val="0"/>
          <c:spPr>
            <a:noFill/>
            <a:ln w="25560">
              <a:noFill/>
            </a:ln>
          </c:spPr>
        </c:title>
        <c:numFmt formatCode="General" sourceLinked="0"/>
        <c:majorTickMark val="out"/>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41492939"/>
        <c:crossesAt val="1"/>
      </c:valAx>
      <c:spPr>
        <a:solidFill>
          <a:srgbClr val="c0c0c0"/>
        </a:solidFill>
        <a:ln w="12600">
          <a:solidFill>
            <a:srgbClr val="808080"/>
          </a:solidFill>
          <a:round/>
        </a:ln>
      </c:spPr>
    </c:plotArea>
    <c:legend>
      <c:layout>
        <c:manualLayout>
          <c:xMode val="edge"/>
          <c:yMode val="edge"/>
          <c:x val="0.00844772967265047"/>
          <c:y val="0.0882352941176471"/>
          <c:w val="0.114044350580781"/>
          <c:h val="0.426472132159951"/>
        </c:manualLayout>
      </c:layout>
      <c:spPr>
        <a:solidFill>
          <a:srgbClr val="ffffff"/>
        </a:solidFill>
        <a:ln w="3240">
          <a:solidFill>
            <a:srgbClr val="000000"/>
          </a:solidFill>
          <a:round/>
        </a:ln>
      </c:spPr>
      <c:txPr>
        <a:bodyPr/>
        <a:lstStyle/>
        <a:p>
          <a:pPr>
            <a:defRPr b="0" sz="675" spc="-1" strike="noStrike">
              <a:solidFill>
                <a:srgbClr val="000000"/>
              </a:solidFill>
              <a:latin typeface="Arial"/>
              <a:ea typeface="Arial"/>
            </a:defRPr>
          </a:pPr>
        </a:p>
      </c:txPr>
    </c:legend>
    <c:plotVisOnly val="0"/>
    <c:dispBlanksAs val="gap"/>
  </c:chart>
  <c:spPr>
    <a:solidFill>
      <a:srgbClr val="ffffff"/>
    </a:solidFill>
    <a:ln w="3240">
      <a:solidFill>
        <a:srgbClr val="000000"/>
      </a:solidFill>
      <a:round/>
    </a:ln>
  </c:spPr>
</c:chartSpace>
</file>

<file path=xl/charts/chart12.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181606431737922"/>
          <c:y val="0.117406701171343"/>
          <c:w val="0.814110752122624"/>
          <c:h val="0.800871697085263"/>
        </c:manualLayout>
      </c:layout>
      <c:barChart>
        <c:barDir val="col"/>
        <c:grouping val="clustered"/>
        <c:varyColors val="0"/>
        <c:ser>
          <c:idx val="0"/>
          <c:order val="0"/>
          <c:spPr>
            <a:solidFill>
              <a:srgbClr val="9999ff"/>
            </a:solidFill>
            <a:ln w="12600">
              <a:solidFill>
                <a:srgbClr val="000000"/>
              </a:solidFill>
              <a:round/>
            </a:ln>
          </c:spPr>
          <c:invertIfNegative val="0"/>
          <c:dLbls>
            <c:numFmt formatCode="General" sourceLinked="1"/>
            <c:dLblPos val="outEnd"/>
            <c:showLegendKey val="0"/>
            <c:showVal val="0"/>
            <c:showCatName val="0"/>
            <c:showSerName val="0"/>
            <c:showPercent val="0"/>
            <c:showLeaderLines val="0"/>
          </c:dLbls>
          <c:val>
            <c:numRef>
              <c:f>Sp2!$F$10:$AD$10</c:f>
              <c:numCache>
                <c:formatCode>General</c:formatCode>
                <c:ptCount val="25"/>
                <c:pt idx="0">
                  <c:v>44</c:v>
                </c:pt>
                <c:pt idx="1">
                  <c:v>41</c:v>
                </c:pt>
                <c:pt idx="2">
                  <c:v>39</c:v>
                </c:pt>
                <c:pt idx="3">
                  <c:v>34</c:v>
                </c:pt>
                <c:pt idx="4">
                  <c:v>29</c:v>
                </c:pt>
                <c:pt idx="5">
                  <c:v>21</c:v>
                </c:pt>
                <c:pt idx="6">
                  <c:v>16</c:v>
                </c:pt>
                <c:pt idx="7">
                  <c:v>7</c:v>
                </c:pt>
                <c:pt idx="8">
                  <c:v>0</c:v>
                </c:pt>
                <c:pt idx="9">
                  <c:v>0</c:v>
                </c:pt>
                <c:pt idx="10">
                  <c:v>0</c:v>
                </c:pt>
                <c:pt idx="11">
                  <c:v>0</c:v>
                </c:pt>
                <c:pt idx="12">
                  <c:v>0</c:v>
                </c:pt>
                <c:pt idx="13">
                  <c:v>0</c:v>
                </c:pt>
                <c:pt idx="14">
                  <c:v/>
                </c:pt>
                <c:pt idx="15">
                  <c:v/>
                </c:pt>
                <c:pt idx="16">
                  <c:v/>
                </c:pt>
                <c:pt idx="17">
                  <c:v/>
                </c:pt>
                <c:pt idx="18">
                  <c:v/>
                </c:pt>
                <c:pt idx="19">
                  <c:v/>
                </c:pt>
                <c:pt idx="20">
                  <c:v/>
                </c:pt>
                <c:pt idx="21">
                  <c:v/>
                </c:pt>
                <c:pt idx="22">
                  <c:v/>
                </c:pt>
                <c:pt idx="23">
                  <c:v/>
                </c:pt>
                <c:pt idx="24">
                  <c:v/>
                </c:pt>
              </c:numCache>
            </c:numRef>
          </c:val>
        </c:ser>
        <c:ser>
          <c:idx val="1"/>
          <c:order val="1"/>
          <c:spPr>
            <a:solidFill>
              <a:srgbClr val="9999ff"/>
            </a:solidFill>
            <a:ln w="12600">
              <a:solidFill>
                <a:srgbClr val="969696"/>
              </a:solidFill>
              <a:round/>
            </a:ln>
          </c:spPr>
          <c:invertIfNegative val="0"/>
          <c:dLbls>
            <c:numFmt formatCode="General" sourceLinked="1"/>
            <c:dLblPos val="outEnd"/>
            <c:showLegendKey val="0"/>
            <c:showVal val="0"/>
            <c:showCatName val="0"/>
            <c:showSerName val="0"/>
            <c:showPercent val="0"/>
            <c:showLeaderLines val="0"/>
          </c:dLbls>
          <c:val>
            <c:numRef>
              <c:f>Sp2!$F$11:$AD$11</c:f>
              <c:numCache>
                <c:formatCode>General</c:formatCode>
                <c:ptCount val="25"/>
                <c:pt idx="0">
                  <c:v>44</c:v>
                </c:pt>
                <c:pt idx="1">
                  <c:v>40.8571428571429</c:v>
                </c:pt>
                <c:pt idx="2">
                  <c:v>37.7142857142857</c:v>
                </c:pt>
                <c:pt idx="3">
                  <c:v>34.5714285714286</c:v>
                </c:pt>
                <c:pt idx="4">
                  <c:v>31.4285714285714</c:v>
                </c:pt>
                <c:pt idx="5">
                  <c:v>28.2857142857143</c:v>
                </c:pt>
                <c:pt idx="6">
                  <c:v>25.1428571428571</c:v>
                </c:pt>
                <c:pt idx="7">
                  <c:v>22</c:v>
                </c:pt>
                <c:pt idx="8">
                  <c:v>18.8571428571429</c:v>
                </c:pt>
                <c:pt idx="9">
                  <c:v>15.7142857142857</c:v>
                </c:pt>
                <c:pt idx="10">
                  <c:v>12.5714285714286</c:v>
                </c:pt>
                <c:pt idx="11">
                  <c:v>9.42857142857143</c:v>
                </c:pt>
                <c:pt idx="12">
                  <c:v>6.28571428571429</c:v>
                </c:pt>
                <c:pt idx="13">
                  <c:v>3.14285714285715</c:v>
                </c:pt>
                <c:pt idx="14">
                  <c:v/>
                </c:pt>
                <c:pt idx="15">
                  <c:v/>
                </c:pt>
                <c:pt idx="16">
                  <c:v/>
                </c:pt>
                <c:pt idx="17">
                  <c:v/>
                </c:pt>
                <c:pt idx="18">
                  <c:v/>
                </c:pt>
                <c:pt idx="19">
                  <c:v/>
                </c:pt>
                <c:pt idx="20">
                  <c:v/>
                </c:pt>
                <c:pt idx="21">
                  <c:v/>
                </c:pt>
                <c:pt idx="22">
                  <c:v/>
                </c:pt>
                <c:pt idx="23">
                  <c:v/>
                </c:pt>
                <c:pt idx="24">
                  <c:v/>
                </c:pt>
              </c:numCache>
            </c:numRef>
          </c:val>
        </c:ser>
        <c:gapWidth val="150"/>
        <c:overlap val="0"/>
        <c:axId val="6997671"/>
        <c:axId val="29856556"/>
      </c:barChart>
      <c:lineChart>
        <c:grouping val="standard"/>
        <c:varyColors val="0"/>
        <c:ser>
          <c:idx val="2"/>
          <c:order val="2"/>
          <c:spPr>
            <a:solidFill>
              <a:srgbClr val="0000ff"/>
            </a:solidFill>
            <a:ln w="3240">
              <a:solidFill>
                <a:srgbClr val="0000ff"/>
              </a:solidFill>
              <a:round/>
            </a:ln>
          </c:spPr>
          <c:marker>
            <c:symbol val="none"/>
          </c:marker>
          <c:dLbls>
            <c:numFmt formatCode="General" sourceLinked="1"/>
            <c:dLblPos val="r"/>
            <c:showLegendKey val="0"/>
            <c:showVal val="0"/>
            <c:showCatName val="0"/>
            <c:showSerName val="0"/>
            <c:showPercent val="0"/>
            <c:showLeaderLines val="0"/>
          </c:dLbls>
          <c:val>
            <c:numRef>
              <c:f>Sp2!$F$12:$AD$12</c:f>
              <c:numCache>
                <c:formatCode>General</c:formatCode>
                <c:ptCount val="25"/>
                <c:pt idx="0">
                  <c:v>47.3333333333333</c:v>
                </c:pt>
                <c:pt idx="1">
                  <c:v>42.0595238095238</c:v>
                </c:pt>
                <c:pt idx="2">
                  <c:v>36.7857142857143</c:v>
                </c:pt>
                <c:pt idx="3">
                  <c:v>31.5119047619048</c:v>
                </c:pt>
                <c:pt idx="4">
                  <c:v>26.2380952380952</c:v>
                </c:pt>
                <c:pt idx="5">
                  <c:v>20.9642857142857</c:v>
                </c:pt>
                <c:pt idx="6">
                  <c:v>15.6904761904762</c:v>
                </c:pt>
                <c:pt idx="7">
                  <c:v>10.4166666666667</c:v>
                </c:pt>
                <c:pt idx="8">
                  <c:v>5.14285714285715</c:v>
                </c:pt>
                <c:pt idx="9">
                  <c:v/>
                </c:pt>
                <c:pt idx="10">
                  <c:v/>
                </c:pt>
                <c:pt idx="11">
                  <c:v/>
                </c:pt>
                <c:pt idx="12">
                  <c:v/>
                </c:pt>
                <c:pt idx="13">
                  <c:v/>
                </c:pt>
                <c:pt idx="14">
                  <c:v/>
                </c:pt>
                <c:pt idx="15">
                  <c:v/>
                </c:pt>
                <c:pt idx="16">
                  <c:v/>
                </c:pt>
                <c:pt idx="17">
                  <c:v/>
                </c:pt>
                <c:pt idx="18">
                  <c:v/>
                </c:pt>
                <c:pt idx="19">
                  <c:v/>
                </c:pt>
                <c:pt idx="20">
                  <c:v/>
                </c:pt>
                <c:pt idx="21">
                  <c:v/>
                </c:pt>
                <c:pt idx="22">
                  <c:v/>
                </c:pt>
                <c:pt idx="23">
                  <c:v/>
                </c:pt>
                <c:pt idx="24">
                  <c:v/>
                </c:pt>
              </c:numCache>
            </c:numRef>
          </c:val>
          <c:smooth val="0"/>
        </c:ser>
        <c:hiLowLines>
          <c:spPr>
            <a:ln>
              <a:noFill/>
            </a:ln>
          </c:spPr>
        </c:hiLowLines>
        <c:marker val="0"/>
        <c:axId val="45868691"/>
        <c:axId val="60500009"/>
      </c:lineChart>
      <c:catAx>
        <c:axId val="6997671"/>
        <c:scaling>
          <c:orientation val="minMax"/>
        </c:scaling>
        <c:delete val="1"/>
        <c:axPos val="b"/>
        <c:numFmt formatCode="General" sourceLinked="1"/>
        <c:majorTickMark val="out"/>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29856556"/>
        <c:crosses val="autoZero"/>
        <c:auto val="1"/>
        <c:lblAlgn val="ctr"/>
        <c:lblOffset val="100"/>
      </c:catAx>
      <c:valAx>
        <c:axId val="29856556"/>
        <c:scaling>
          <c:orientation val="minMax"/>
          <c:min val="0"/>
        </c:scaling>
        <c:delete val="0"/>
        <c:axPos val="l"/>
        <c:title>
          <c:tx>
            <c:rich>
              <a:bodyPr rot="-5400000"/>
              <a:lstStyle/>
              <a:p>
                <a:pPr>
                  <a:defRPr b="0" sz="800" spc="-1" strike="noStrike">
                    <a:solidFill>
                      <a:srgbClr val="000000"/>
                    </a:solidFill>
                    <a:latin typeface="Arial"/>
                    <a:ea typeface="Arial"/>
                  </a:defRPr>
                </a:pPr>
                <a:r>
                  <a:rPr b="0" sz="800" spc="-1" strike="noStrike">
                    <a:solidFill>
                      <a:srgbClr val="000000"/>
                    </a:solidFill>
                    <a:latin typeface="Arial"/>
                    <a:ea typeface="Arial"/>
                  </a:rPr>
                  <a:t>Work Remaining (h)</a:t>
                </a:r>
              </a:p>
            </c:rich>
          </c:tx>
          <c:layout>
            <c:manualLayout>
              <c:xMode val="edge"/>
              <c:yMode val="edge"/>
              <c:x val="0.142572695168683"/>
              <c:y val="0.153909016616726"/>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b="0" sz="550" spc="-1" strike="noStrike">
                <a:solidFill>
                  <a:srgbClr val="000000"/>
                </a:solidFill>
                <a:latin typeface="Arial"/>
                <a:ea typeface="Arial"/>
              </a:defRPr>
            </a:pPr>
          </a:p>
        </c:txPr>
        <c:crossAx val="6997671"/>
        <c:crossesAt val="1"/>
      </c:valAx>
      <c:catAx>
        <c:axId val="45868691"/>
        <c:scaling>
          <c:orientation val="minMax"/>
        </c:scaling>
        <c:delete val="1"/>
        <c:axPos val="t"/>
        <c:numFmt formatCode="General" sourceLinked="1"/>
        <c:majorTickMark val="out"/>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60500009"/>
        <c:crosses val="autoZero"/>
        <c:auto val="1"/>
        <c:lblAlgn val="ctr"/>
        <c:lblOffset val="100"/>
      </c:catAx>
      <c:valAx>
        <c:axId val="60500009"/>
        <c:scaling>
          <c:orientation val="minMax"/>
          <c:min val="0"/>
        </c:scaling>
        <c:delete val="1"/>
        <c:axPos val="r"/>
        <c:title>
          <c:tx>
            <c:rich>
              <a:bodyPr rot="-5400000"/>
              <a:lstStyle/>
              <a:p>
                <a:pPr>
                  <a:defRPr b="0" sz="800" spc="-1" strike="noStrike">
                    <a:solidFill>
                      <a:srgbClr val="000000"/>
                    </a:solidFill>
                    <a:latin typeface="Arial"/>
                    <a:ea typeface="Arial"/>
                  </a:defRPr>
                </a:pPr>
                <a:r>
                  <a:rPr b="0" sz="800" spc="-1" strike="noStrike">
                    <a:solidFill>
                      <a:srgbClr val="000000"/>
                    </a:solidFill>
                    <a:latin typeface="Arial"/>
                    <a:ea typeface="Arial"/>
                  </a:rPr>
                  <a:t>Work Remaining (h)</a:t>
                </a:r>
              </a:p>
            </c:rich>
          </c:tx>
          <c:layout>
            <c:manualLayout>
              <c:xMode val="edge"/>
              <c:yMode val="edge"/>
              <c:x val="0.142572695168683"/>
              <c:y val="0.153909016616726"/>
            </c:manualLayout>
          </c:layout>
          <c:overlay val="0"/>
          <c:spPr>
            <a:noFill/>
            <a:ln w="25560">
              <a:noFill/>
            </a:ln>
          </c:spPr>
        </c:title>
        <c:numFmt formatCode="General" sourceLinked="0"/>
        <c:majorTickMark val="out"/>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45868691"/>
        <c:crossesAt val="1"/>
      </c:valAx>
      <c:spPr>
        <a:solidFill>
          <a:srgbClr val="c0c0c0"/>
        </a:solidFill>
        <a:ln w="12600">
          <a:solidFill>
            <a:srgbClr val="808080"/>
          </a:solidFill>
          <a:round/>
        </a:ln>
      </c:spPr>
    </c:plotArea>
    <c:legend>
      <c:layout>
        <c:manualLayout>
          <c:xMode val="edge"/>
          <c:yMode val="edge"/>
          <c:x val="0.00739176346356917"/>
          <c:y val="0.0882352941176471"/>
          <c:w val="0.114044350580781"/>
          <c:h val="0.426472132159951"/>
        </c:manualLayout>
      </c:layout>
      <c:spPr>
        <a:solidFill>
          <a:srgbClr val="ffffff"/>
        </a:solidFill>
        <a:ln w="3240">
          <a:solidFill>
            <a:srgbClr val="000000"/>
          </a:solidFill>
          <a:round/>
        </a:ln>
      </c:spPr>
      <c:txPr>
        <a:bodyPr/>
        <a:lstStyle/>
        <a:p>
          <a:pPr>
            <a:defRPr b="0" sz="675" spc="-1" strike="noStrike">
              <a:solidFill>
                <a:srgbClr val="000000"/>
              </a:solidFill>
              <a:latin typeface="Arial"/>
              <a:ea typeface="Arial"/>
            </a:defRPr>
          </a:pPr>
        </a:p>
      </c:txPr>
    </c:legend>
    <c:plotVisOnly val="0"/>
    <c:dispBlanksAs val="gap"/>
  </c:chart>
  <c:spPr>
    <a:solidFill>
      <a:srgbClr val="ffffff"/>
    </a:solidFill>
    <a:ln w="3240">
      <a:solidFill>
        <a:srgbClr val="000000"/>
      </a:solidFill>
      <a:round/>
    </a:ln>
  </c:spPr>
</c:chartSpace>
</file>

<file path=xl/drawings/_rels/drawing3.xml.rels><?xml version="1.0" encoding="UTF-8"?>
<Relationships xmlns="http://schemas.openxmlformats.org/package/2006/relationships"><Relationship Id="rId1" Type="http://schemas.openxmlformats.org/officeDocument/2006/relationships/chart" Target="../charts/chart11.xml"/>
</Relationships>
</file>

<file path=xl/drawings/_rels/drawing4.xml.rels><?xml version="1.0" encoding="UTF-8"?>
<Relationships xmlns="http://schemas.openxmlformats.org/package/2006/relationships"><Relationship Id="rId1" Type="http://schemas.openxmlformats.org/officeDocument/2006/relationships/chart" Target="../charts/chart12.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4</xdr:col>
      <xdr:colOff>66600</xdr:colOff>
      <xdr:row>0</xdr:row>
      <xdr:rowOff>95400</xdr:rowOff>
    </xdr:from>
    <xdr:to>
      <xdr:col>6</xdr:col>
      <xdr:colOff>913680</xdr:colOff>
      <xdr:row>1</xdr:row>
      <xdr:rowOff>85320</xdr:rowOff>
    </xdr:to>
    <xdr:sp>
      <xdr:nvSpPr>
        <xdr:cNvPr id="0" name="CustomShape 1" hidden="1"/>
        <xdr:cNvSpPr/>
      </xdr:nvSpPr>
      <xdr:spPr>
        <a:xfrm>
          <a:off x="4886640" y="95400"/>
          <a:ext cx="2132280" cy="210600"/>
        </a:xfrm>
        <a:prstGeom prst="rect">
          <a:avLst/>
        </a:prstGeom>
        <a:noFill/>
        <a:ln>
          <a:noFill/>
        </a:ln>
      </xdr:spPr>
      <xdr:style>
        <a:lnRef idx="0"/>
        <a:fillRef idx="0"/>
        <a:effectRef idx="0"/>
        <a:fontRef idx="minor"/>
      </xdr:style>
      <xdr:txBody>
        <a:bodyPr lIns="27360" rIns="27360" tIns="23040" bIns="23040" anchor="ctr"/>
        <a:p>
          <a:pPr algn="ctr">
            <a:lnSpc>
              <a:spcPct val="100000"/>
            </a:lnSpc>
          </a:pPr>
          <a:r>
            <a:rPr b="0" lang="en-NZ" sz="1000" spc="-1" strike="noStrike">
              <a:solidFill>
                <a:srgbClr val="000000"/>
              </a:solidFill>
              <a:latin typeface="Arial"/>
            </a:rPr>
            <a:t>Sort Product Backlog</a:t>
          </a:r>
          <a:endParaRPr b="0" lang="en-NZ" sz="1000" spc="-1" strike="noStrike">
            <a:latin typeface="Times New Roman"/>
          </a:endParaRPr>
        </a:p>
      </xdr:txBody>
    </xdr:sp>
    <xdr:clientData/>
  </xdr:twoCellAnchor>
  <xdr:twoCellAnchor editAs="oneCell">
    <xdr:from>
      <xdr:col>0</xdr:col>
      <xdr:colOff>0</xdr:colOff>
      <xdr:row>0</xdr:row>
      <xdr:rowOff>0</xdr:rowOff>
    </xdr:from>
    <xdr:to>
      <xdr:col>11</xdr:col>
      <xdr:colOff>126720</xdr:colOff>
      <xdr:row>51</xdr:row>
      <xdr:rowOff>151920</xdr:rowOff>
    </xdr:to>
    <xdr:sp>
      <xdr:nvSpPr>
        <xdr:cNvPr id="1" name="CustomShape 1" hidden="1"/>
        <xdr:cNvSpPr/>
      </xdr:nvSpPr>
      <xdr:spPr>
        <a:xfrm>
          <a:off x="0" y="0"/>
          <a:ext cx="11726640" cy="1394784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0</xdr:col>
      <xdr:colOff>0</xdr:colOff>
      <xdr:row>0</xdr:row>
      <xdr:rowOff>0</xdr:rowOff>
    </xdr:from>
    <xdr:to>
      <xdr:col>11</xdr:col>
      <xdr:colOff>126720</xdr:colOff>
      <xdr:row>51</xdr:row>
      <xdr:rowOff>151920</xdr:rowOff>
    </xdr:to>
    <xdr:sp>
      <xdr:nvSpPr>
        <xdr:cNvPr id="2" name="CustomShape 1" hidden="1"/>
        <xdr:cNvSpPr/>
      </xdr:nvSpPr>
      <xdr:spPr>
        <a:xfrm>
          <a:off x="0" y="0"/>
          <a:ext cx="11726640" cy="1394784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0</xdr:col>
      <xdr:colOff>0</xdr:colOff>
      <xdr:row>0</xdr:row>
      <xdr:rowOff>0</xdr:rowOff>
    </xdr:from>
    <xdr:to>
      <xdr:col>11</xdr:col>
      <xdr:colOff>126720</xdr:colOff>
      <xdr:row>51</xdr:row>
      <xdr:rowOff>151920</xdr:rowOff>
    </xdr:to>
    <xdr:sp>
      <xdr:nvSpPr>
        <xdr:cNvPr id="3" name="CustomShape 1" hidden="1"/>
        <xdr:cNvSpPr/>
      </xdr:nvSpPr>
      <xdr:spPr>
        <a:xfrm>
          <a:off x="0" y="0"/>
          <a:ext cx="11726640" cy="1394784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0</xdr:col>
      <xdr:colOff>0</xdr:colOff>
      <xdr:row>0</xdr:row>
      <xdr:rowOff>0</xdr:rowOff>
    </xdr:from>
    <xdr:to>
      <xdr:col>11</xdr:col>
      <xdr:colOff>126720</xdr:colOff>
      <xdr:row>51</xdr:row>
      <xdr:rowOff>151920</xdr:rowOff>
    </xdr:to>
    <xdr:sp>
      <xdr:nvSpPr>
        <xdr:cNvPr id="4" name="CustomShape 1" hidden="1"/>
        <xdr:cNvSpPr/>
      </xdr:nvSpPr>
      <xdr:spPr>
        <a:xfrm>
          <a:off x="0" y="0"/>
          <a:ext cx="11726640" cy="1394784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0</xdr:col>
      <xdr:colOff>0</xdr:colOff>
      <xdr:row>0</xdr:row>
      <xdr:rowOff>0</xdr:rowOff>
    </xdr:from>
    <xdr:to>
      <xdr:col>11</xdr:col>
      <xdr:colOff>126720</xdr:colOff>
      <xdr:row>51</xdr:row>
      <xdr:rowOff>151920</xdr:rowOff>
    </xdr:to>
    <xdr:sp>
      <xdr:nvSpPr>
        <xdr:cNvPr id="5" name="CustomShape 1" hidden="1"/>
        <xdr:cNvSpPr/>
      </xdr:nvSpPr>
      <xdr:spPr>
        <a:xfrm>
          <a:off x="0" y="0"/>
          <a:ext cx="11726640" cy="1394784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29</xdr:col>
      <xdr:colOff>406080</xdr:colOff>
      <xdr:row>75</xdr:row>
      <xdr:rowOff>88560</xdr:rowOff>
    </xdr:to>
    <xdr:sp>
      <xdr:nvSpPr>
        <xdr:cNvPr id="6" name="CustomShape 1" hidden="1"/>
        <xdr:cNvSpPr/>
      </xdr:nvSpPr>
      <xdr:spPr>
        <a:xfrm>
          <a:off x="0" y="0"/>
          <a:ext cx="11780640" cy="1288440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0</xdr:col>
      <xdr:colOff>0</xdr:colOff>
      <xdr:row>0</xdr:row>
      <xdr:rowOff>0</xdr:rowOff>
    </xdr:from>
    <xdr:to>
      <xdr:col>29</xdr:col>
      <xdr:colOff>406080</xdr:colOff>
      <xdr:row>75</xdr:row>
      <xdr:rowOff>88560</xdr:rowOff>
    </xdr:to>
    <xdr:sp>
      <xdr:nvSpPr>
        <xdr:cNvPr id="7" name="CustomShape 1" hidden="1"/>
        <xdr:cNvSpPr/>
      </xdr:nvSpPr>
      <xdr:spPr>
        <a:xfrm>
          <a:off x="0" y="0"/>
          <a:ext cx="11780640" cy="1288440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0</xdr:col>
      <xdr:colOff>0</xdr:colOff>
      <xdr:row>0</xdr:row>
      <xdr:rowOff>0</xdr:rowOff>
    </xdr:from>
    <xdr:to>
      <xdr:col>29</xdr:col>
      <xdr:colOff>406080</xdr:colOff>
      <xdr:row>75</xdr:row>
      <xdr:rowOff>88560</xdr:rowOff>
    </xdr:to>
    <xdr:sp>
      <xdr:nvSpPr>
        <xdr:cNvPr id="8" name="CustomShape 1" hidden="1"/>
        <xdr:cNvSpPr/>
      </xdr:nvSpPr>
      <xdr:spPr>
        <a:xfrm>
          <a:off x="0" y="0"/>
          <a:ext cx="11780640" cy="1288440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487080</xdr:colOff>
      <xdr:row>0</xdr:row>
      <xdr:rowOff>38160</xdr:rowOff>
    </xdr:from>
    <xdr:to>
      <xdr:col>29</xdr:col>
      <xdr:colOff>251280</xdr:colOff>
      <xdr:row>7</xdr:row>
      <xdr:rowOff>132840</xdr:rowOff>
    </xdr:to>
    <xdr:graphicFrame>
      <xdr:nvGraphicFramePr>
        <xdr:cNvPr id="9" name="Chart 2"/>
        <xdr:cNvGraphicFramePr/>
      </xdr:nvGraphicFramePr>
      <xdr:xfrm>
        <a:off x="4147560" y="38160"/>
        <a:ext cx="9589680" cy="13212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2008800</xdr:colOff>
      <xdr:row>7</xdr:row>
      <xdr:rowOff>28080</xdr:rowOff>
    </xdr:to>
    <xdr:sp>
      <xdr:nvSpPr>
        <xdr:cNvPr id="10" name="CustomShape 1" hidden="1"/>
        <xdr:cNvSpPr/>
      </xdr:nvSpPr>
      <xdr:spPr>
        <a:xfrm>
          <a:off x="237960" y="977040"/>
          <a:ext cx="1770840" cy="277560"/>
        </a:xfrm>
        <a:prstGeom prst="rect">
          <a:avLst/>
        </a:prstGeom>
        <a:noFill/>
        <a:ln>
          <a:noFill/>
        </a:ln>
      </xdr:spPr>
      <xdr:style>
        <a:lnRef idx="0"/>
        <a:fillRef idx="0"/>
        <a:effectRef idx="0"/>
        <a:fontRef idx="minor"/>
      </xdr:style>
      <xdr:txBody>
        <a:bodyPr lIns="27360" rIns="27360" tIns="23040" bIns="23040" anchor="ctr"/>
        <a:p>
          <a:pPr algn="ctr">
            <a:lnSpc>
              <a:spcPct val="100000"/>
            </a:lnSpc>
          </a:pPr>
          <a:r>
            <a:rPr b="0" lang="en-NZ" sz="1000" spc="-1" strike="noStrike">
              <a:solidFill>
                <a:srgbClr val="000000"/>
              </a:solidFill>
              <a:latin typeface="Arial"/>
            </a:rPr>
            <a:t>Sort Sprint Tasks</a:t>
          </a:r>
          <a:endParaRPr b="0" lang="en-NZ" sz="1000" spc="-1" strike="noStrike">
            <a:latin typeface="Times New Roman"/>
          </a:endParaRPr>
        </a:p>
      </xdr:txBody>
    </xdr:sp>
    <xdr:clientData/>
  </xdr:twoCellAnchor>
  <xdr:twoCellAnchor editAs="oneCell">
    <xdr:from>
      <xdr:col>0</xdr:col>
      <xdr:colOff>2257560</xdr:colOff>
      <xdr:row>5</xdr:row>
      <xdr:rowOff>85680</xdr:rowOff>
    </xdr:from>
    <xdr:to>
      <xdr:col>2</xdr:col>
      <xdr:colOff>295200</xdr:colOff>
      <xdr:row>7</xdr:row>
      <xdr:rowOff>28080</xdr:rowOff>
    </xdr:to>
    <xdr:sp>
      <xdr:nvSpPr>
        <xdr:cNvPr id="11" name="CustomShape 1" hidden="1"/>
        <xdr:cNvSpPr/>
      </xdr:nvSpPr>
      <xdr:spPr>
        <a:xfrm>
          <a:off x="2257560" y="977040"/>
          <a:ext cx="1698120" cy="277560"/>
        </a:xfrm>
        <a:prstGeom prst="rect">
          <a:avLst/>
        </a:prstGeom>
        <a:noFill/>
        <a:ln>
          <a:noFill/>
        </a:ln>
      </xdr:spPr>
      <xdr:style>
        <a:lnRef idx="0"/>
        <a:fillRef idx="0"/>
        <a:effectRef idx="0"/>
        <a:fontRef idx="minor"/>
      </xdr:style>
      <xdr:txBody>
        <a:bodyPr lIns="27360" rIns="27360" tIns="23040" bIns="23040" anchor="ctr"/>
        <a:p>
          <a:pPr algn="ctr">
            <a:lnSpc>
              <a:spcPct val="100000"/>
            </a:lnSpc>
          </a:pPr>
          <a:r>
            <a:rPr b="0" lang="en-NZ" sz="1000" spc="-1" strike="noStrike">
              <a:solidFill>
                <a:srgbClr val="000000"/>
              </a:solidFill>
              <a:latin typeface="Arial"/>
            </a:rPr>
            <a:t>Update Task Slips</a:t>
          </a:r>
          <a:endParaRPr b="0" lang="en-NZ" sz="1000" spc="-1" strike="noStrike">
            <a:latin typeface="Times New Roman"/>
          </a:endParaRPr>
        </a:p>
      </xdr:txBody>
    </xdr:sp>
    <xdr:clientData/>
  </xdr:twoCellAnchor>
  <xdr:twoCellAnchor editAs="oneCell">
    <xdr:from>
      <xdr:col>0</xdr:col>
      <xdr:colOff>0</xdr:colOff>
      <xdr:row>0</xdr:row>
      <xdr:rowOff>0</xdr:rowOff>
    </xdr:from>
    <xdr:to>
      <xdr:col>23</xdr:col>
      <xdr:colOff>75960</xdr:colOff>
      <xdr:row>79</xdr:row>
      <xdr:rowOff>139320</xdr:rowOff>
    </xdr:to>
    <xdr:sp>
      <xdr:nvSpPr>
        <xdr:cNvPr id="12" name="CustomShape 1" hidden="1"/>
        <xdr:cNvSpPr/>
      </xdr:nvSpPr>
      <xdr:spPr>
        <a:xfrm>
          <a:off x="0" y="0"/>
          <a:ext cx="11679840" cy="1285452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485640</xdr:colOff>
      <xdr:row>0</xdr:row>
      <xdr:rowOff>38160</xdr:rowOff>
    </xdr:from>
    <xdr:to>
      <xdr:col>30</xdr:col>
      <xdr:colOff>46800</xdr:colOff>
      <xdr:row>7</xdr:row>
      <xdr:rowOff>132840</xdr:rowOff>
    </xdr:to>
    <xdr:graphicFrame>
      <xdr:nvGraphicFramePr>
        <xdr:cNvPr id="13" name="Chart 2"/>
        <xdr:cNvGraphicFramePr/>
      </xdr:nvGraphicFramePr>
      <xdr:xfrm>
        <a:off x="3793680" y="38160"/>
        <a:ext cx="9582120" cy="13212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1732680</xdr:colOff>
      <xdr:row>7</xdr:row>
      <xdr:rowOff>27720</xdr:rowOff>
    </xdr:to>
    <xdr:sp>
      <xdr:nvSpPr>
        <xdr:cNvPr id="14" name="CustomShape 1" hidden="1"/>
        <xdr:cNvSpPr/>
      </xdr:nvSpPr>
      <xdr:spPr>
        <a:xfrm>
          <a:off x="237960" y="977040"/>
          <a:ext cx="1494720" cy="277200"/>
        </a:xfrm>
        <a:prstGeom prst="rect">
          <a:avLst/>
        </a:prstGeom>
        <a:noFill/>
        <a:ln>
          <a:noFill/>
        </a:ln>
      </xdr:spPr>
      <xdr:style>
        <a:lnRef idx="0"/>
        <a:fillRef idx="0"/>
        <a:effectRef idx="0"/>
        <a:fontRef idx="minor"/>
      </xdr:style>
      <xdr:txBody>
        <a:bodyPr lIns="27360" rIns="27360" tIns="23040" bIns="23040" anchor="ctr"/>
        <a:p>
          <a:pPr algn="ctr">
            <a:lnSpc>
              <a:spcPct val="100000"/>
            </a:lnSpc>
          </a:pPr>
          <a:r>
            <a:rPr b="0" lang="en-NZ" sz="1000" spc="-1" strike="noStrike">
              <a:solidFill>
                <a:srgbClr val="000000"/>
              </a:solidFill>
              <a:latin typeface="Arial"/>
            </a:rPr>
            <a:t>Sort Sprint Tasks</a:t>
          </a:r>
          <a:endParaRPr b="0" lang="en-NZ" sz="1000" spc="-1" strike="noStrike">
            <a:latin typeface="Times New Roman"/>
          </a:endParaRPr>
        </a:p>
      </xdr:txBody>
    </xdr:sp>
    <xdr:clientData/>
  </xdr:twoCellAnchor>
  <xdr:twoCellAnchor editAs="oneCell">
    <xdr:from>
      <xdr:col>0</xdr:col>
      <xdr:colOff>2000160</xdr:colOff>
      <xdr:row>5</xdr:row>
      <xdr:rowOff>85680</xdr:rowOff>
    </xdr:from>
    <xdr:to>
      <xdr:col>2</xdr:col>
      <xdr:colOff>218160</xdr:colOff>
      <xdr:row>7</xdr:row>
      <xdr:rowOff>27720</xdr:rowOff>
    </xdr:to>
    <xdr:sp>
      <xdr:nvSpPr>
        <xdr:cNvPr id="15" name="CustomShape 1" hidden="1"/>
        <xdr:cNvSpPr/>
      </xdr:nvSpPr>
      <xdr:spPr>
        <a:xfrm>
          <a:off x="2000160" y="977040"/>
          <a:ext cx="1526040" cy="277200"/>
        </a:xfrm>
        <a:prstGeom prst="rect">
          <a:avLst/>
        </a:prstGeom>
        <a:noFill/>
        <a:ln>
          <a:noFill/>
        </a:ln>
      </xdr:spPr>
      <xdr:style>
        <a:lnRef idx="0"/>
        <a:fillRef idx="0"/>
        <a:effectRef idx="0"/>
        <a:fontRef idx="minor"/>
      </xdr:style>
      <xdr:txBody>
        <a:bodyPr lIns="27360" rIns="27360" tIns="23040" bIns="23040" anchor="ctr"/>
        <a:p>
          <a:pPr algn="ctr">
            <a:lnSpc>
              <a:spcPct val="100000"/>
            </a:lnSpc>
          </a:pPr>
          <a:r>
            <a:rPr b="0" lang="en-NZ" sz="1000" spc="-1" strike="noStrike">
              <a:solidFill>
                <a:srgbClr val="000000"/>
              </a:solidFill>
              <a:latin typeface="Arial"/>
            </a:rPr>
            <a:t>Update Task Slips</a:t>
          </a:r>
          <a:endParaRPr b="0" lang="en-NZ" sz="1000" spc="-1" strike="noStrike">
            <a:latin typeface="Times New Roman"/>
          </a:endParaRPr>
        </a:p>
      </xdr:txBody>
    </xdr:sp>
    <xdr:clientData/>
  </xdr:twoCellAnchor>
  <xdr:twoCellAnchor editAs="oneCell">
    <xdr:from>
      <xdr:col>0</xdr:col>
      <xdr:colOff>0</xdr:colOff>
      <xdr:row>0</xdr:row>
      <xdr:rowOff>0</xdr:rowOff>
    </xdr:from>
    <xdr:to>
      <xdr:col>24</xdr:col>
      <xdr:colOff>240840</xdr:colOff>
      <xdr:row>79</xdr:row>
      <xdr:rowOff>144360</xdr:rowOff>
    </xdr:to>
    <xdr:sp>
      <xdr:nvSpPr>
        <xdr:cNvPr id="16" name="CustomShape 1" hidden="1"/>
        <xdr:cNvSpPr/>
      </xdr:nvSpPr>
      <xdr:spPr>
        <a:xfrm>
          <a:off x="0" y="0"/>
          <a:ext cx="11687760" cy="1288224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1.xml"/><Relationship Id="rId3"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2.xml"/><Relationship Id="rId3" Type="http://schemas.openxmlformats.org/officeDocument/2006/relationships/vmlDrawing" Target="../drawings/vmlDrawing2.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3.xml"/><Relationship Id="rId3" Type="http://schemas.openxmlformats.org/officeDocument/2006/relationships/vmlDrawing" Target="../drawings/vmlDrawing3.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4.xml"/><Relationship Id="rId3" Type="http://schemas.openxmlformats.org/officeDocument/2006/relationships/vmlDrawing" Target="../drawings/vmlDrawing4.v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J31"/>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H22" activeCellId="0" sqref="H22"/>
    </sheetView>
  </sheetViews>
  <sheetFormatPr defaultRowHeight="13.2" zeroHeight="false" outlineLevelRow="0" outlineLevelCol="0"/>
  <cols>
    <col collapsed="false" customWidth="true" hidden="false" outlineLevel="0" max="1" min="1" style="0" width="7.78"/>
    <col collapsed="false" customWidth="true" hidden="false" outlineLevel="0" max="2" min="2" style="0" width="10.45"/>
    <col collapsed="false" customWidth="true" hidden="false" outlineLevel="0" max="3" min="3" style="0" width="9.44"/>
    <col collapsed="false" customWidth="true" hidden="false" outlineLevel="0" max="5" min="4" style="0" width="10.66"/>
    <col collapsed="false" customWidth="true" hidden="false" outlineLevel="0" max="6" min="6" style="0" width="9"/>
    <col collapsed="false" customWidth="true" hidden="false" outlineLevel="0" max="7" min="7" style="1" width="13.66"/>
    <col collapsed="false" customWidth="true" hidden="false" outlineLevel="0" max="8" min="8" style="0" width="102"/>
    <col collapsed="false" customWidth="true" hidden="false" outlineLevel="0" max="9" min="9" style="0" width="10.66"/>
    <col collapsed="false" customWidth="true" hidden="false" outlineLevel="0" max="1025" min="10" style="0" width="9"/>
  </cols>
  <sheetData>
    <row r="1" customFormat="false" ht="17.4" hidden="false" customHeight="false" outlineLevel="0" collapsed="false">
      <c r="A1" s="2" t="s">
        <v>0</v>
      </c>
    </row>
    <row r="3" customFormat="false" ht="13.2" hidden="false" customHeight="false" outlineLevel="0" collapsed="false">
      <c r="A3" s="3" t="s">
        <v>1</v>
      </c>
      <c r="B3" s="4" t="s">
        <v>2</v>
      </c>
      <c r="C3" s="5" t="s">
        <v>3</v>
      </c>
      <c r="D3" s="5" t="s">
        <v>4</v>
      </c>
      <c r="E3" s="4" t="s">
        <v>5</v>
      </c>
      <c r="F3" s="6" t="s">
        <v>6</v>
      </c>
      <c r="G3" s="4" t="s">
        <v>7</v>
      </c>
      <c r="H3" s="7" t="s">
        <v>8</v>
      </c>
      <c r="I3" s="8"/>
      <c r="J3" s="8"/>
    </row>
    <row r="4" customFormat="false" ht="13.2" hidden="false" customHeight="false" outlineLevel="0" collapsed="false">
      <c r="A4" s="9" t="n">
        <v>1</v>
      </c>
      <c r="B4" s="10" t="n">
        <f aca="false">IF(OR(B16="",A4=""),"",B16)</f>
        <v>43927</v>
      </c>
      <c r="C4" s="11" t="n">
        <f aca="false">IF(A4="","",SUMIF(I$16:I$30,A4,C$16:C$30))</f>
        <v>14</v>
      </c>
      <c r="D4" s="10" t="n">
        <f aca="false">IF(OR(B4="",C4=""),"",B4+C4-1)</f>
        <v>43940</v>
      </c>
      <c r="E4" s="12" t="n">
        <f aca="false">IF(A4="","",SUMIF(I$16:I$30,'Release Plan'!A4,E$16:E$30))</f>
        <v>40</v>
      </c>
      <c r="F4" s="13"/>
      <c r="G4" s="14"/>
      <c r="H4" s="15"/>
    </row>
    <row r="5" customFormat="false" ht="13.2" hidden="false" customHeight="false" outlineLevel="0" collapsed="false">
      <c r="A5" s="16" t="n">
        <v>2</v>
      </c>
      <c r="B5" s="17" t="n">
        <f aca="false">IF(A5="","",B4+C4)</f>
        <v>43941</v>
      </c>
      <c r="C5" s="12" t="n">
        <f aca="false">IF(A5="","",SUMIF(I$16:I$30,A5,C$16:C$30))</f>
        <v>14</v>
      </c>
      <c r="D5" s="17" t="n">
        <f aca="false">IF(OR(B5="",C5=""),"",B5+C5-1)</f>
        <v>43954</v>
      </c>
      <c r="E5" s="12" t="n">
        <f aca="false">IF(A5="","",SUMIF(I$16:I$30,'Release Plan'!A5,E$16:E$30))</f>
        <v>44</v>
      </c>
      <c r="F5" s="13"/>
      <c r="G5" s="18"/>
      <c r="H5" s="19"/>
    </row>
    <row r="6" customFormat="false" ht="13.2" hidden="false" customHeight="false" outlineLevel="0" collapsed="false">
      <c r="A6" s="16" t="n">
        <v>3</v>
      </c>
      <c r="B6" s="17" t="n">
        <v>43955</v>
      </c>
      <c r="C6" s="12" t="n">
        <f aca="false">IF(A6="","",SUMIF(I$16:I$30,A6,C$16:C$30))</f>
        <v>14</v>
      </c>
      <c r="D6" s="17" t="n">
        <f aca="false">IF(OR(B6="",C6=""),"",B6+C6-1)</f>
        <v>43968</v>
      </c>
      <c r="E6" s="12" t="n">
        <f aca="false">IF(A6="","",SUMIF(I$16:I$30,'Release Plan'!A6,E$16:E$30))</f>
        <v>40</v>
      </c>
      <c r="F6" s="13"/>
      <c r="G6" s="18"/>
      <c r="H6" s="19"/>
    </row>
    <row r="7" customFormat="false" ht="13.2" hidden="false" customHeight="false" outlineLevel="0" collapsed="false">
      <c r="A7" s="16"/>
      <c r="B7" s="17"/>
      <c r="C7" s="12" t="str">
        <f aca="false">IF(A7="","",SUMIF(I$16:I$30,A7,C$16:C$30))</f>
        <v/>
      </c>
      <c r="D7" s="17" t="str">
        <f aca="false">IF(OR(B7="",C7=""),"",B7+C7-1)</f>
        <v/>
      </c>
      <c r="E7" s="12" t="str">
        <f aca="false">IF(A7="","",SUMIF(I$16:I$30,'Release Plan'!A7,E$16:E$30))</f>
        <v/>
      </c>
      <c r="F7" s="13"/>
      <c r="G7" s="18"/>
      <c r="H7" s="19"/>
    </row>
    <row r="8" customFormat="false" ht="13.2" hidden="false" customHeight="false" outlineLevel="0" collapsed="false">
      <c r="A8" s="16"/>
      <c r="B8" s="17"/>
      <c r="C8" s="12" t="str">
        <f aca="false">IF(A8="","",SUMIF(I$16:I$30,A8,C$16:C$30))</f>
        <v/>
      </c>
      <c r="D8" s="17" t="str">
        <f aca="false">IF(OR(B8="",C8=""),"",B8+C8-1)</f>
        <v/>
      </c>
      <c r="E8" s="12" t="str">
        <f aca="false">IF(A8="","",SUMIF(I$16:I$30,'Release Plan'!A8,E$16:E$30))</f>
        <v/>
      </c>
      <c r="F8" s="13"/>
      <c r="G8" s="18"/>
      <c r="H8" s="19"/>
    </row>
    <row r="9" customFormat="false" ht="13.2" hidden="false" customHeight="false" outlineLevel="0" collapsed="false">
      <c r="A9" s="16"/>
      <c r="B9" s="17"/>
      <c r="C9" s="12" t="str">
        <f aca="false">IF(A9="","",SUMIF(I$16:I$30,A9,C$16:C$30))</f>
        <v/>
      </c>
      <c r="D9" s="17" t="str">
        <f aca="false">IF(OR(B9="",C9=""),"",B9+C9-1)</f>
        <v/>
      </c>
      <c r="E9" s="12" t="str">
        <f aca="false">IF(A9="","",SUMIF(I$16:I$30,'Release Plan'!A9,E$16:E$30))</f>
        <v/>
      </c>
      <c r="F9" s="13"/>
      <c r="G9" s="18"/>
      <c r="H9" s="19"/>
    </row>
    <row r="10" customFormat="false" ht="13.2" hidden="false" customHeight="false" outlineLevel="0" collapsed="false">
      <c r="A10" s="20"/>
      <c r="B10" s="21"/>
      <c r="C10" s="22" t="str">
        <f aca="false">IF(A10="","",SUMIF(I$16:I$30,A10,C$16:C$30))</f>
        <v/>
      </c>
      <c r="D10" s="21" t="str">
        <f aca="false">IF(OR(B10="",C10=""),"",B10+C10-1)</f>
        <v/>
      </c>
      <c r="E10" s="22" t="str">
        <f aca="false">IF(A10="","",SUMIF(I$16:I$30,'Release Plan'!A10,E$16:E$30))</f>
        <v/>
      </c>
      <c r="F10" s="23"/>
      <c r="G10" s="24"/>
      <c r="H10" s="25"/>
    </row>
    <row r="11" customFormat="false" ht="13.2" hidden="false" customHeight="false" outlineLevel="0" collapsed="false">
      <c r="A11" s="26" t="s">
        <v>9</v>
      </c>
    </row>
    <row r="13" customFormat="false" ht="17.4" hidden="false" customHeight="false" outlineLevel="0" collapsed="false">
      <c r="A13" s="2" t="s">
        <v>10</v>
      </c>
    </row>
    <row r="15" customFormat="false" ht="13.2" hidden="false" customHeight="false" outlineLevel="0" collapsed="false">
      <c r="A15" s="3" t="s">
        <v>11</v>
      </c>
      <c r="B15" s="4" t="s">
        <v>2</v>
      </c>
      <c r="C15" s="4" t="s">
        <v>3</v>
      </c>
      <c r="D15" s="4" t="s">
        <v>4</v>
      </c>
      <c r="E15" s="4" t="s">
        <v>5</v>
      </c>
      <c r="F15" s="6" t="s">
        <v>6</v>
      </c>
      <c r="G15" s="4" t="s">
        <v>7</v>
      </c>
      <c r="H15" s="27" t="s">
        <v>8</v>
      </c>
      <c r="I15" s="28" t="s">
        <v>12</v>
      </c>
      <c r="J15" s="8"/>
    </row>
    <row r="16" customFormat="false" ht="13.2" hidden="false" customHeight="false" outlineLevel="0" collapsed="false">
      <c r="A16" s="12" t="n">
        <v>1</v>
      </c>
      <c r="B16" s="29" t="n">
        <v>43927</v>
      </c>
      <c r="C16" s="30" t="n">
        <v>14</v>
      </c>
      <c r="D16" s="31" t="n">
        <f aca="false">IF(AND(B16&lt;&gt;"",C16&lt;&gt;""),B16+C16-1,"")</f>
        <v>43940</v>
      </c>
      <c r="E16" s="12" t="n">
        <v>40</v>
      </c>
      <c r="F16" s="13" t="s">
        <v>13</v>
      </c>
      <c r="G16" s="30"/>
      <c r="H16" s="32" t="s">
        <v>14</v>
      </c>
      <c r="I16" s="33" t="n">
        <v>1</v>
      </c>
    </row>
    <row r="17" customFormat="false" ht="13.2" hidden="false" customHeight="false" outlineLevel="0" collapsed="false">
      <c r="A17" s="12" t="n">
        <v>2</v>
      </c>
      <c r="B17" s="31" t="n">
        <f aca="false">IF(AND(B16&lt;&gt;"",C16&lt;&gt;"",C17&lt;&gt;""),B16+C16,"")</f>
        <v>43941</v>
      </c>
      <c r="C17" s="30" t="n">
        <v>14</v>
      </c>
      <c r="D17" s="31" t="n">
        <f aca="false">IF(AND(B17&lt;&gt;"",C17&lt;&gt;""),B17+C17-1,"")</f>
        <v>43954</v>
      </c>
      <c r="E17" s="12" t="n">
        <v>44</v>
      </c>
      <c r="F17" s="13" t="s">
        <v>13</v>
      </c>
      <c r="G17" s="30"/>
      <c r="H17" s="34" t="s">
        <v>15</v>
      </c>
      <c r="I17" s="35" t="n">
        <v>2</v>
      </c>
    </row>
    <row r="18" customFormat="false" ht="13.2" hidden="false" customHeight="false" outlineLevel="0" collapsed="false">
      <c r="A18" s="12" t="n">
        <v>3</v>
      </c>
      <c r="B18" s="31" t="n">
        <f aca="false">IF(AND(B17&lt;&gt;"",C17&lt;&gt;"",C18&lt;&gt;""),B17+C17,"")</f>
        <v>43955</v>
      </c>
      <c r="C18" s="30" t="n">
        <v>14</v>
      </c>
      <c r="D18" s="31" t="n">
        <f aca="false">IF(AND(B18&lt;&gt;"",C18&lt;&gt;""),B18+C18-1,"")</f>
        <v>43968</v>
      </c>
      <c r="E18" s="12" t="n">
        <v>40</v>
      </c>
      <c r="F18" s="13" t="str">
        <f aca="false">IF(AND(OR(F17="Planned",F17="Ongoing"),C18&lt;&gt;""),"Planned","Unplanned")</f>
        <v>Planned</v>
      </c>
      <c r="G18" s="30"/>
      <c r="H18" s="34" t="s">
        <v>16</v>
      </c>
      <c r="I18" s="35" t="n">
        <v>3</v>
      </c>
    </row>
    <row r="19" customFormat="false" ht="13.2" hidden="false" customHeight="false" outlineLevel="0" collapsed="false">
      <c r="A19" s="12"/>
      <c r="B19" s="31"/>
      <c r="C19" s="30"/>
      <c r="D19" s="31"/>
      <c r="E19" s="12"/>
      <c r="F19" s="13"/>
      <c r="G19" s="30"/>
      <c r="H19" s="34"/>
      <c r="I19" s="35"/>
    </row>
    <row r="20" customFormat="false" ht="13.2" hidden="false" customHeight="false" outlineLevel="0" collapsed="false">
      <c r="A20" s="12"/>
      <c r="B20" s="31"/>
      <c r="C20" s="30"/>
      <c r="D20" s="31"/>
      <c r="E20" s="12"/>
      <c r="F20" s="13"/>
      <c r="G20" s="30"/>
      <c r="H20" s="34"/>
      <c r="I20" s="35"/>
    </row>
    <row r="21" customFormat="false" ht="13.2" hidden="false" customHeight="false" outlineLevel="0" collapsed="false">
      <c r="A21" s="12"/>
      <c r="B21" s="31"/>
      <c r="C21" s="30"/>
      <c r="D21" s="31"/>
      <c r="E21" s="12"/>
      <c r="F21" s="13"/>
      <c r="G21" s="30"/>
      <c r="H21" s="34"/>
      <c r="I21" s="35"/>
    </row>
    <row r="22" customFormat="false" ht="13.2" hidden="false" customHeight="false" outlineLevel="0" collapsed="false">
      <c r="A22" s="12" t="str">
        <f aca="false">IF(AND(B22&lt;&gt;"",C22&lt;&gt;""),A21+1,"")</f>
        <v/>
      </c>
      <c r="B22" s="31" t="str">
        <f aca="false">IF(AND(B21&lt;&gt;"",C21&lt;&gt;"",C22&lt;&gt;""),B21+C21,"")</f>
        <v/>
      </c>
      <c r="C22" s="30"/>
      <c r="D22" s="31" t="str">
        <f aca="false">IF(AND(B22&lt;&gt;"",C22&lt;&gt;""),B22+C22-1,"")</f>
        <v/>
      </c>
      <c r="E22" s="12" t="str">
        <f aca="false">IF(A22="","",SUMIF('Product Backlog'!E$6:E$100,'Release Plan'!A22,'Product Backlog'!D$6:D$100))</f>
        <v/>
      </c>
      <c r="F22" s="13" t="str">
        <f aca="false">IF(AND(OR(F21="Planned",F21="Ongoing"),C22&lt;&gt;""),"Planned","Unplanned")</f>
        <v>Unplanned</v>
      </c>
      <c r="G22" s="30"/>
      <c r="H22" s="34"/>
      <c r="I22" s="35"/>
    </row>
    <row r="23" customFormat="false" ht="13.2" hidden="false" customHeight="false" outlineLevel="0" collapsed="false">
      <c r="A23" s="12" t="str">
        <f aca="false">IF(AND(B23&lt;&gt;"",C23&lt;&gt;""),A22+1,"")</f>
        <v/>
      </c>
      <c r="B23" s="31" t="str">
        <f aca="false">IF(AND(B22&lt;&gt;"",C22&lt;&gt;"",C23&lt;&gt;""),B22+C22,"")</f>
        <v/>
      </c>
      <c r="C23" s="30"/>
      <c r="D23" s="31" t="str">
        <f aca="false">IF(AND(B23&lt;&gt;"",C23&lt;&gt;""),B23+C23-1,"")</f>
        <v/>
      </c>
      <c r="E23" s="12" t="str">
        <f aca="false">IF(A23="","",SUMIF('Product Backlog'!E$6:E$100,'Release Plan'!A23,'Product Backlog'!D$6:D$100))</f>
        <v/>
      </c>
      <c r="F23" s="13" t="str">
        <f aca="false">IF(AND(OR(F22="Planned",F22="Ongoing"),C23&lt;&gt;""),"Planned","Unplanned")</f>
        <v>Unplanned</v>
      </c>
      <c r="G23" s="30"/>
      <c r="H23" s="34"/>
      <c r="I23" s="35"/>
    </row>
    <row r="24" customFormat="false" ht="13.2" hidden="false" customHeight="false" outlineLevel="0" collapsed="false">
      <c r="A24" s="12" t="str">
        <f aca="false">IF(AND(B24&lt;&gt;"",C24&lt;&gt;""),A23+1,"")</f>
        <v/>
      </c>
      <c r="B24" s="31" t="str">
        <f aca="false">IF(AND(B23&lt;&gt;"",C23&lt;&gt;"",C24&lt;&gt;""),B23+C23,"")</f>
        <v/>
      </c>
      <c r="C24" s="30"/>
      <c r="D24" s="31" t="str">
        <f aca="false">IF(AND(B24&lt;&gt;"",C24&lt;&gt;""),B24+C24-1,"")</f>
        <v/>
      </c>
      <c r="E24" s="12" t="str">
        <f aca="false">IF(A24="","",SUMIF('Product Backlog'!E$6:E$100,'Release Plan'!A24,'Product Backlog'!D$6:D$100))</f>
        <v/>
      </c>
      <c r="F24" s="13" t="str">
        <f aca="false">IF(AND(OR(F23="Planned",F23="Ongoing"),C24&lt;&gt;""),"Planned","Unplanned")</f>
        <v>Unplanned</v>
      </c>
      <c r="G24" s="30"/>
      <c r="H24" s="34"/>
      <c r="I24" s="35"/>
    </row>
    <row r="25" customFormat="false" ht="13.2" hidden="false" customHeight="false" outlineLevel="0" collapsed="false">
      <c r="A25" s="12" t="str">
        <f aca="false">IF(AND(B25&lt;&gt;"",C25&lt;&gt;""),A24+1,"")</f>
        <v/>
      </c>
      <c r="B25" s="31" t="str">
        <f aca="false">IF(AND(B24&lt;&gt;"",C24&lt;&gt;"",C25&lt;&gt;""),B24+C24,"")</f>
        <v/>
      </c>
      <c r="C25" s="30"/>
      <c r="D25" s="31" t="str">
        <f aca="false">IF(AND(B25&lt;&gt;"",C25&lt;&gt;""),B25+C25-1,"")</f>
        <v/>
      </c>
      <c r="E25" s="12" t="str">
        <f aca="false">IF(A25="","",SUMIF('Product Backlog'!E$6:E$100,'Release Plan'!A25,'Product Backlog'!D$6:D$100))</f>
        <v/>
      </c>
      <c r="F25" s="13" t="str">
        <f aca="false">IF(AND(OR(F24="Planned",F24="Ongoing"),C25&lt;&gt;""),"Planned","Unplanned")</f>
        <v>Unplanned</v>
      </c>
      <c r="G25" s="30"/>
      <c r="H25" s="34"/>
      <c r="I25" s="35"/>
    </row>
    <row r="26" customFormat="false" ht="13.2" hidden="false" customHeight="false" outlineLevel="0" collapsed="false">
      <c r="A26" s="12" t="str">
        <f aca="false">IF(AND(B26&lt;&gt;"",C26&lt;&gt;""),A25+1,"")</f>
        <v/>
      </c>
      <c r="B26" s="31" t="str">
        <f aca="false">IF(AND(B25&lt;&gt;"",C25&lt;&gt;"",C26&lt;&gt;""),B25+C25,"")</f>
        <v/>
      </c>
      <c r="C26" s="30"/>
      <c r="D26" s="31" t="str">
        <f aca="false">IF(AND(B26&lt;&gt;"",C26&lt;&gt;""),B26+C26-1,"")</f>
        <v/>
      </c>
      <c r="E26" s="12" t="str">
        <f aca="false">IF(A26="","",SUMIF('Product Backlog'!E$6:E$100,'Release Plan'!A26,'Product Backlog'!D$6:D$100))</f>
        <v/>
      </c>
      <c r="F26" s="13" t="str">
        <f aca="false">IF(AND(OR(F25="Planned",F25="Ongoing"),C26&lt;&gt;""),"Planned","Unplanned")</f>
        <v>Unplanned</v>
      </c>
      <c r="G26" s="30"/>
      <c r="H26" s="34"/>
      <c r="I26" s="35"/>
    </row>
    <row r="27" customFormat="false" ht="13.2" hidden="false" customHeight="false" outlineLevel="0" collapsed="false">
      <c r="A27" s="12" t="str">
        <f aca="false">IF(AND(B27&lt;&gt;"",C27&lt;&gt;""),A26+1,"")</f>
        <v/>
      </c>
      <c r="B27" s="31" t="str">
        <f aca="false">IF(AND(B26&lt;&gt;"",C26&lt;&gt;"",C27&lt;&gt;""),B26+C26,"")</f>
        <v/>
      </c>
      <c r="C27" s="30"/>
      <c r="D27" s="31" t="str">
        <f aca="false">IF(AND(B27&lt;&gt;"",C27&lt;&gt;""),B27+C27-1,"")</f>
        <v/>
      </c>
      <c r="E27" s="12" t="str">
        <f aca="false">IF(A27="","",SUMIF('Product Backlog'!E$6:E$100,'Release Plan'!A27,'Product Backlog'!D$6:D$100))</f>
        <v/>
      </c>
      <c r="F27" s="13" t="str">
        <f aca="false">IF(AND(OR(F26="Planned",F26="Ongoing"),C27&lt;&gt;""),"Planned","Unplanned")</f>
        <v>Unplanned</v>
      </c>
      <c r="G27" s="30"/>
      <c r="H27" s="34"/>
      <c r="I27" s="35"/>
    </row>
    <row r="28" customFormat="false" ht="13.2" hidden="false" customHeight="false" outlineLevel="0" collapsed="false">
      <c r="A28" s="12" t="str">
        <f aca="false">IF(AND(B28&lt;&gt;"",C28&lt;&gt;""),A27+1,"")</f>
        <v/>
      </c>
      <c r="B28" s="31" t="str">
        <f aca="false">IF(AND(B27&lt;&gt;"",C27&lt;&gt;"",C28&lt;&gt;""),B27+C27,"")</f>
        <v/>
      </c>
      <c r="C28" s="30"/>
      <c r="D28" s="31" t="str">
        <f aca="false">IF(AND(B28&lt;&gt;"",C28&lt;&gt;""),B28+C28-1,"")</f>
        <v/>
      </c>
      <c r="E28" s="12" t="str">
        <f aca="false">IF(A28="","",SUMIF('Product Backlog'!E$6:E$100,'Release Plan'!A28,'Product Backlog'!D$6:D$100))</f>
        <v/>
      </c>
      <c r="F28" s="13" t="str">
        <f aca="false">IF(AND(OR(F27="Planned",F27="Ongoing"),C28&lt;&gt;""),"Planned","Unplanned")</f>
        <v>Unplanned</v>
      </c>
      <c r="G28" s="30"/>
      <c r="H28" s="34"/>
      <c r="I28" s="35"/>
    </row>
    <row r="29" customFormat="false" ht="13.2" hidden="false" customHeight="false" outlineLevel="0" collapsed="false">
      <c r="A29" s="12" t="str">
        <f aca="false">IF(AND(B29&lt;&gt;"",C29&lt;&gt;""),A28+1,"")</f>
        <v/>
      </c>
      <c r="B29" s="31" t="str">
        <f aca="false">IF(AND(B28&lt;&gt;"",C28&lt;&gt;"",C29&lt;&gt;""),B28+C28,"")</f>
        <v/>
      </c>
      <c r="C29" s="30"/>
      <c r="D29" s="31" t="str">
        <f aca="false">IF(AND(B29&lt;&gt;"",C29&lt;&gt;""),B29+C29-1,"")</f>
        <v/>
      </c>
      <c r="E29" s="12" t="str">
        <f aca="false">IF(A29="","",SUMIF('Product Backlog'!E$6:E$100,'Release Plan'!A29,'Product Backlog'!D$6:D$100))</f>
        <v/>
      </c>
      <c r="F29" s="13" t="str">
        <f aca="false">IF(AND(OR(F28="Planned",F28="Ongoing"),C29&lt;&gt;""),"Planned","Unplanned")</f>
        <v>Unplanned</v>
      </c>
      <c r="G29" s="30"/>
      <c r="H29" s="34"/>
      <c r="I29" s="35"/>
    </row>
    <row r="30" customFormat="false" ht="13.2" hidden="false" customHeight="false" outlineLevel="0" collapsed="false">
      <c r="A30" s="12" t="str">
        <f aca="false">IF(AND(B30&lt;&gt;"",C30&lt;&gt;""),A29+1,"")</f>
        <v/>
      </c>
      <c r="B30" s="31" t="str">
        <f aca="false">IF(AND(B29&lt;&gt;"",C29&lt;&gt;"",C30&lt;&gt;""),B29+C29,"")</f>
        <v/>
      </c>
      <c r="C30" s="30"/>
      <c r="D30" s="31" t="str">
        <f aca="false">IF(AND(B30&lt;&gt;"",C30&lt;&gt;""),B30+C30-1,"")</f>
        <v/>
      </c>
      <c r="E30" s="12" t="str">
        <f aca="false">IF(A30="","",SUMIF('Product Backlog'!E$6:E$100,'Release Plan'!A30,'Product Backlog'!D$6:D$100))</f>
        <v/>
      </c>
      <c r="F30" s="13" t="str">
        <f aca="false">IF(AND(OR(F29="Planned",F29="Ongoing"),C30&lt;&gt;""),"Planned","Unplanned")</f>
        <v>Unplanned</v>
      </c>
      <c r="G30" s="30"/>
      <c r="H30" s="36"/>
      <c r="I30" s="37"/>
    </row>
    <row r="31" customFormat="false" ht="13.2" hidden="false" customHeight="false" outlineLevel="0" collapsed="false">
      <c r="A31" s="38"/>
      <c r="B31" s="38"/>
      <c r="C31" s="38"/>
      <c r="D31" s="39" t="s">
        <v>17</v>
      </c>
      <c r="E31" s="11" t="n">
        <f aca="false">SUMIF('Product Backlog'!E$6:E$100,"",'Product Backlog'!D$6:D$100)-SUMIF('Product Backlog'!C$6:C$100,"Removed",'Product Backlog'!D$6:D$100)</f>
        <v>0</v>
      </c>
      <c r="F31" s="38"/>
      <c r="G31" s="40"/>
      <c r="H31" s="38"/>
    </row>
  </sheetData>
  <conditionalFormatting sqref="G4:H10 E31 E5:E10 A4:D10">
    <cfRule type="expression" priority="2" aboveAverage="0" equalAverage="0" bottom="0" percent="0" rank="0" text="" dxfId="0">
      <formula>$F4="Planned"</formula>
    </cfRule>
    <cfRule type="expression" priority="3" aboveAverage="0" equalAverage="0" bottom="0" percent="0" rank="0" text="" dxfId="1">
      <formula>$F4="Ongoing"</formula>
    </cfRule>
  </conditionalFormatting>
  <conditionalFormatting sqref="F4:F10 F16:F30">
    <cfRule type="expression" priority="4" aboveAverage="0" equalAverage="0" bottom="0" percent="0" rank="0" text="" dxfId="2">
      <formula>$F4="Planned"</formula>
    </cfRule>
    <cfRule type="expression" priority="5" aboveAverage="0" equalAverage="0" bottom="0" percent="0" rank="0" text="" dxfId="3">
      <formula>$F4="Ongoing"</formula>
    </cfRule>
    <cfRule type="cellIs" priority="6" operator="equal" aboveAverage="0" equalAverage="0" bottom="0" percent="0" rank="0" text="" dxfId="4">
      <formula>"Unplanned"</formula>
    </cfRule>
  </conditionalFormatting>
  <conditionalFormatting sqref="E4 G16:H30 A16:E30">
    <cfRule type="expression" priority="7" aboveAverage="0" equalAverage="0" bottom="0" percent="0" rank="0" text="" dxfId="5">
      <formula>OR(#REF!="Planned",#REF!="Unplanned")</formula>
    </cfRule>
    <cfRule type="expression" priority="8" aboveAverage="0" equalAverage="0" bottom="0" percent="0" rank="0" text="" dxfId="6">
      <formula>#REF!="Ongoing"</formula>
    </cfRule>
  </conditionalFormatting>
  <dataValidations count="1">
    <dataValidation allowBlank="true" operator="between" showDropDown="false" showErrorMessage="true" showInputMessage="false" sqref="F4:F10 F16:F30" type="list">
      <formula1>"Planned,Ongoing,Released,Unplanned"</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true"/>
  </sheetPr>
  <dimension ref="A1:G22"/>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pane xSplit="0" ySplit="4" topLeftCell="A5" activePane="bottomLeft" state="frozen"/>
      <selection pane="topLeft" activeCell="A1" activeCellId="0" sqref="A1"/>
      <selection pane="bottomLeft" activeCell="L16" activeCellId="0" sqref="L16"/>
    </sheetView>
  </sheetViews>
  <sheetFormatPr defaultRowHeight="13.2" zeroHeight="false" outlineLevelRow="0" outlineLevelCol="0"/>
  <cols>
    <col collapsed="false" customWidth="true" hidden="false" outlineLevel="0" max="1" min="1" style="41" width="9.11"/>
    <col collapsed="false" customWidth="true" hidden="false" outlineLevel="0" max="2" min="2" style="42" width="39.33"/>
    <col collapsed="false" customWidth="true" hidden="false" outlineLevel="0" max="3" min="3" style="41" width="10.77"/>
    <col collapsed="false" customWidth="true" hidden="false" outlineLevel="0" max="6" min="4" style="41" width="9.11"/>
    <col collapsed="false" customWidth="true" hidden="false" outlineLevel="0" max="7" min="7" style="42" width="41.44"/>
    <col collapsed="false" customWidth="true" hidden="false" outlineLevel="0" max="1025" min="8" style="43" width="9.11"/>
  </cols>
  <sheetData>
    <row r="1" customFormat="false" ht="17.4" hidden="false" customHeight="false" outlineLevel="0" collapsed="false">
      <c r="A1" s="44" t="s">
        <v>18</v>
      </c>
      <c r="C1" s="45" t="s">
        <v>19</v>
      </c>
    </row>
    <row r="2" customFormat="false" ht="13.2" hidden="false" customHeight="false" outlineLevel="0" collapsed="false">
      <c r="D2" s="46"/>
    </row>
    <row r="4" customFormat="false" ht="13.2" hidden="false" customHeight="false" outlineLevel="0" collapsed="false">
      <c r="A4" s="47" t="s">
        <v>20</v>
      </c>
      <c r="B4" s="48" t="s">
        <v>21</v>
      </c>
      <c r="C4" s="47" t="s">
        <v>6</v>
      </c>
      <c r="D4" s="47" t="s">
        <v>5</v>
      </c>
      <c r="E4" s="47" t="s">
        <v>11</v>
      </c>
      <c r="F4" s="47" t="s">
        <v>22</v>
      </c>
      <c r="G4" s="48" t="s">
        <v>23</v>
      </c>
    </row>
    <row r="5" customFormat="false" ht="26.4" hidden="false" customHeight="false" outlineLevel="0" collapsed="false">
      <c r="A5" s="41" t="n">
        <v>1</v>
      </c>
      <c r="B5" s="49" t="s">
        <v>24</v>
      </c>
      <c r="C5" s="41" t="s">
        <v>13</v>
      </c>
      <c r="D5" s="41" t="n">
        <v>4</v>
      </c>
      <c r="E5" s="41" t="n">
        <v>1</v>
      </c>
      <c r="G5" s="49" t="s">
        <v>25</v>
      </c>
    </row>
    <row r="6" customFormat="false" ht="39.6" hidden="false" customHeight="false" outlineLevel="0" collapsed="false">
      <c r="A6" s="41" t="n">
        <v>2</v>
      </c>
      <c r="B6" s="49" t="s">
        <v>26</v>
      </c>
      <c r="C6" s="50" t="s">
        <v>13</v>
      </c>
      <c r="D6" s="41" t="n">
        <v>15</v>
      </c>
      <c r="E6" s="41" t="n">
        <v>2</v>
      </c>
      <c r="G6" s="49" t="s">
        <v>27</v>
      </c>
    </row>
    <row r="7" customFormat="false" ht="39.6" hidden="false" customHeight="false" outlineLevel="0" collapsed="false">
      <c r="A7" s="41" t="n">
        <v>3</v>
      </c>
      <c r="B7" s="49" t="s">
        <v>28</v>
      </c>
      <c r="C7" s="50" t="s">
        <v>13</v>
      </c>
      <c r="D7" s="41" t="n">
        <v>18</v>
      </c>
      <c r="E7" s="41" t="n">
        <v>1</v>
      </c>
      <c r="G7" s="49" t="s">
        <v>29</v>
      </c>
    </row>
    <row r="8" customFormat="false" ht="39.6" hidden="false" customHeight="false" outlineLevel="0" collapsed="false">
      <c r="A8" s="41" t="n">
        <v>4</v>
      </c>
      <c r="B8" s="49" t="s">
        <v>30</v>
      </c>
      <c r="C8" s="50" t="s">
        <v>13</v>
      </c>
      <c r="D8" s="41" t="n">
        <v>4</v>
      </c>
      <c r="E8" s="41" t="n">
        <v>1</v>
      </c>
      <c r="G8" s="49" t="s">
        <v>31</v>
      </c>
    </row>
    <row r="9" customFormat="false" ht="26.25" hidden="false" customHeight="true" outlineLevel="0" collapsed="false">
      <c r="A9" s="41" t="n">
        <v>5</v>
      </c>
      <c r="B9" s="49" t="s">
        <v>32</v>
      </c>
      <c r="C9" s="50" t="s">
        <v>13</v>
      </c>
      <c r="D9" s="41" t="n">
        <v>5</v>
      </c>
      <c r="E9" s="41" t="n">
        <v>2</v>
      </c>
      <c r="G9" s="49" t="s">
        <v>33</v>
      </c>
    </row>
    <row r="10" customFormat="false" ht="26.25" hidden="false" customHeight="true" outlineLevel="0" collapsed="false">
      <c r="A10" s="41" t="n">
        <v>6</v>
      </c>
      <c r="B10" s="49" t="s">
        <v>34</v>
      </c>
      <c r="C10" s="50" t="s">
        <v>13</v>
      </c>
      <c r="D10" s="41" t="n">
        <v>10</v>
      </c>
      <c r="E10" s="41" t="n">
        <v>3</v>
      </c>
      <c r="G10" s="49" t="s">
        <v>35</v>
      </c>
    </row>
    <row r="11" customFormat="false" ht="39.6" hidden="false" customHeight="false" outlineLevel="0" collapsed="false">
      <c r="A11" s="41" t="n">
        <v>7</v>
      </c>
      <c r="B11" s="49" t="s">
        <v>36</v>
      </c>
      <c r="C11" s="50" t="s">
        <v>13</v>
      </c>
      <c r="D11" s="41" t="n">
        <v>8</v>
      </c>
      <c r="E11" s="41" t="n">
        <v>3</v>
      </c>
      <c r="G11" s="49" t="s">
        <v>37</v>
      </c>
    </row>
    <row r="12" customFormat="false" ht="26.4" hidden="false" customHeight="false" outlineLevel="0" collapsed="false">
      <c r="A12" s="41" t="n">
        <v>8</v>
      </c>
      <c r="B12" s="49" t="s">
        <v>38</v>
      </c>
      <c r="C12" s="50" t="s">
        <v>13</v>
      </c>
      <c r="D12" s="41" t="n">
        <v>4</v>
      </c>
      <c r="E12" s="41" t="n">
        <v>1</v>
      </c>
      <c r="G12" s="49" t="s">
        <v>39</v>
      </c>
    </row>
    <row r="13" customFormat="false" ht="39.6" hidden="false" customHeight="false" outlineLevel="0" collapsed="false">
      <c r="A13" s="41" t="n">
        <v>9</v>
      </c>
      <c r="B13" s="49" t="s">
        <v>40</v>
      </c>
      <c r="C13" s="50" t="s">
        <v>13</v>
      </c>
      <c r="D13" s="41" t="n">
        <v>13</v>
      </c>
      <c r="E13" s="41" t="n">
        <v>3</v>
      </c>
      <c r="G13" s="49" t="s">
        <v>41</v>
      </c>
    </row>
    <row r="14" customFormat="false" ht="26.4" hidden="false" customHeight="false" outlineLevel="0" collapsed="false">
      <c r="A14" s="41" t="n">
        <v>10</v>
      </c>
      <c r="B14" s="49" t="s">
        <v>42</v>
      </c>
      <c r="C14" s="50" t="s">
        <v>13</v>
      </c>
      <c r="D14" s="41" t="n">
        <v>8</v>
      </c>
      <c r="E14" s="41" t="n">
        <v>2</v>
      </c>
      <c r="G14" s="49" t="s">
        <v>43</v>
      </c>
    </row>
    <row r="15" customFormat="false" ht="39.6" hidden="false" customHeight="false" outlineLevel="0" collapsed="false">
      <c r="A15" s="41" t="n">
        <v>11</v>
      </c>
      <c r="B15" s="49" t="s">
        <v>44</v>
      </c>
      <c r="C15" s="41" t="s">
        <v>13</v>
      </c>
      <c r="D15" s="41" t="n">
        <v>4</v>
      </c>
      <c r="E15" s="41" t="n">
        <v>1</v>
      </c>
      <c r="G15" s="49" t="s">
        <v>45</v>
      </c>
    </row>
    <row r="16" customFormat="false" ht="39.6" hidden="false" customHeight="false" outlineLevel="0" collapsed="false">
      <c r="A16" s="41" t="n">
        <v>12</v>
      </c>
      <c r="B16" s="49" t="s">
        <v>46</v>
      </c>
      <c r="C16" s="41" t="s">
        <v>13</v>
      </c>
      <c r="D16" s="41" t="n">
        <v>3</v>
      </c>
      <c r="E16" s="41" t="n">
        <v>2</v>
      </c>
      <c r="G16" s="49" t="s">
        <v>47</v>
      </c>
    </row>
    <row r="17" customFormat="false" ht="39.6" hidden="false" customHeight="false" outlineLevel="0" collapsed="false">
      <c r="A17" s="41" t="n">
        <v>13</v>
      </c>
      <c r="B17" s="49" t="s">
        <v>48</v>
      </c>
      <c r="C17" s="41" t="s">
        <v>13</v>
      </c>
      <c r="D17" s="41" t="n">
        <v>6</v>
      </c>
      <c r="E17" s="41" t="n">
        <v>1</v>
      </c>
      <c r="G17" s="49" t="s">
        <v>49</v>
      </c>
    </row>
    <row r="18" customFormat="false" ht="39.6" hidden="false" customHeight="false" outlineLevel="0" collapsed="false">
      <c r="A18" s="41" t="n">
        <v>14</v>
      </c>
      <c r="B18" s="49" t="s">
        <v>50</v>
      </c>
      <c r="C18" s="41" t="s">
        <v>13</v>
      </c>
      <c r="D18" s="41" t="n">
        <v>5</v>
      </c>
      <c r="E18" s="41" t="n">
        <v>2</v>
      </c>
      <c r="G18" s="49" t="s">
        <v>51</v>
      </c>
    </row>
    <row r="19" customFormat="false" ht="26.4" hidden="false" customHeight="false" outlineLevel="0" collapsed="false">
      <c r="A19" s="41" t="n">
        <v>15</v>
      </c>
      <c r="B19" s="49" t="s">
        <v>52</v>
      </c>
      <c r="C19" s="41" t="s">
        <v>13</v>
      </c>
      <c r="D19" s="41" t="n">
        <v>4</v>
      </c>
      <c r="E19" s="41" t="n">
        <v>2</v>
      </c>
      <c r="G19" s="49" t="s">
        <v>53</v>
      </c>
    </row>
    <row r="20" customFormat="false" ht="39.6" hidden="false" customHeight="false" outlineLevel="0" collapsed="false">
      <c r="A20" s="41" t="n">
        <v>16</v>
      </c>
      <c r="B20" s="49" t="s">
        <v>54</v>
      </c>
      <c r="C20" s="41" t="s">
        <v>13</v>
      </c>
      <c r="D20" s="41" t="n">
        <v>4</v>
      </c>
      <c r="E20" s="41" t="n">
        <v>2</v>
      </c>
      <c r="G20" s="49" t="s">
        <v>55</v>
      </c>
    </row>
    <row r="21" customFormat="false" ht="39.6" hidden="false" customHeight="false" outlineLevel="0" collapsed="false">
      <c r="A21" s="41" t="n">
        <v>17</v>
      </c>
      <c r="B21" s="49" t="s">
        <v>56</v>
      </c>
      <c r="C21" s="41" t="s">
        <v>13</v>
      </c>
      <c r="D21" s="41" t="n">
        <v>6</v>
      </c>
      <c r="E21" s="41" t="n">
        <v>3</v>
      </c>
      <c r="G21" s="49" t="s">
        <v>57</v>
      </c>
    </row>
    <row r="22" customFormat="false" ht="52.8" hidden="false" customHeight="false" outlineLevel="0" collapsed="false">
      <c r="A22" s="41" t="n">
        <v>18</v>
      </c>
      <c r="B22" s="49" t="s">
        <v>58</v>
      </c>
      <c r="C22" s="41" t="s">
        <v>13</v>
      </c>
      <c r="D22" s="41" t="n">
        <v>3</v>
      </c>
      <c r="E22" s="41" t="n">
        <v>3</v>
      </c>
      <c r="G22" s="49" t="s">
        <v>59</v>
      </c>
    </row>
  </sheetData>
  <conditionalFormatting sqref="G41:G49 C42:C43 G20:G38 A51:G160 B44:F49 A4:G9 A10:A49 B10:F41 G10:G18">
    <cfRule type="expression" priority="2" aboveAverage="0" equalAverage="0" bottom="0" percent="0" rank="0" text="" dxfId="0">
      <formula>$C4="Done"</formula>
    </cfRule>
    <cfRule type="expression" priority="3" aboveAverage="0" equalAverage="0" bottom="0" percent="0" rank="0" text="" dxfId="1">
      <formula>$C4="Ongoing"</formula>
    </cfRule>
    <cfRule type="expression" priority="4" aboveAverage="0" equalAverage="0" bottom="0" percent="0" rank="0" text="" dxfId="2">
      <formula>$C4="Removed"</formula>
    </cfRule>
  </conditionalFormatting>
  <conditionalFormatting sqref="G50">
    <cfRule type="expression" priority="5" aboveAverage="0" equalAverage="0" bottom="0" percent="0" rank="0" text="" dxfId="3">
      <formula>$C40="Done"</formula>
    </cfRule>
    <cfRule type="expression" priority="6" aboveAverage="0" equalAverage="0" bottom="0" percent="0" rank="0" text="" dxfId="4">
      <formula>$C40="Ongoing"</formula>
    </cfRule>
    <cfRule type="expression" priority="7" aboveAverage="0" equalAverage="0" bottom="0" percent="0" rank="0" text="" dxfId="5">
      <formula>$C40="Removed"</formula>
    </cfRule>
  </conditionalFormatting>
  <conditionalFormatting sqref="G39:G40">
    <cfRule type="expression" priority="8" aboveAverage="0" equalAverage="0" bottom="0" percent="0" rank="0" text="" dxfId="6">
      <formula>#ref!="Done"</formula>
    </cfRule>
    <cfRule type="expression" priority="9" aboveAverage="0" equalAverage="0" bottom="0" percent="0" rank="0" text="" dxfId="7">
      <formula>#ref!="Ongoing"</formula>
    </cfRule>
    <cfRule type="expression" priority="10" aboveAverage="0" equalAverage="0" bottom="0" percent="0" rank="0" text="" dxfId="8">
      <formula>#ref!="Removed"</formula>
    </cfRule>
  </conditionalFormatting>
  <conditionalFormatting sqref="G19">
    <cfRule type="expression" priority="11" aboveAverage="0" equalAverage="0" bottom="0" percent="0" rank="0" text="" dxfId="9">
      <formula>#ref!="Done"</formula>
    </cfRule>
    <cfRule type="expression" priority="12" aboveAverage="0" equalAverage="0" bottom="0" percent="0" rank="0" text="" dxfId="10">
      <formula>#ref!="Ongoing"</formula>
    </cfRule>
    <cfRule type="expression" priority="13" aboveAverage="0" equalAverage="0" bottom="0" percent="0" rank="0" text="" dxfId="11">
      <formula>#ref!="Removed"</formula>
    </cfRule>
  </conditionalFormatting>
  <dataValidations count="1">
    <dataValidation allowBlank="true" operator="between" showDropDown="false" showErrorMessage="false" showInputMessage="false" sqref="C4 C6:C14" type="list">
      <formula1>"Planned,Ongoing,Done,Removed"</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2"/>
  <legacyDrawing r:id="rId3"/>
</worksheet>
</file>

<file path=xl/worksheets/sheet3.xml><?xml version="1.0" encoding="utf-8"?>
<worksheet xmlns="http://schemas.openxmlformats.org/spreadsheetml/2006/main" xmlns:r="http://schemas.openxmlformats.org/officeDocument/2006/relationships">
  <sheetPr filterMode="false">
    <pageSetUpPr fitToPage="false"/>
  </sheetPr>
  <dimension ref="A1:Z51"/>
  <sheetViews>
    <sheetView showFormulas="false" showGridLines="true" showRowColHeaders="true" showZeros="true" rightToLeft="false" tabSelected="false" showOutlineSymbols="true" defaultGridColor="true" view="normal" topLeftCell="A9" colorId="64" zoomScale="90" zoomScaleNormal="90" zoomScalePageLayoutView="100" workbookViewId="0">
      <selection pane="topLeft" activeCell="S20" activeCellId="0" sqref="S20"/>
    </sheetView>
  </sheetViews>
  <sheetFormatPr defaultRowHeight="13.2" zeroHeight="false" outlineLevelRow="0" outlineLevelCol="0"/>
  <cols>
    <col collapsed="false" customWidth="true" hidden="false" outlineLevel="0" max="1" min="1" style="0" width="11.77"/>
    <col collapsed="false" customWidth="true" hidden="false" outlineLevel="0" max="4" min="2" style="0" width="9"/>
    <col collapsed="false" customWidth="true" hidden="false" outlineLevel="0" max="5" min="5" style="0" width="14.44"/>
    <col collapsed="false" customWidth="true" hidden="true" outlineLevel="0" max="6" min="6" style="0" width="15.66"/>
    <col collapsed="false" customWidth="true" hidden="true" outlineLevel="0" max="8" min="7" style="0" width="5.44"/>
    <col collapsed="false" customWidth="true" hidden="true" outlineLevel="0" max="9" min="9" style="0" width="7.34"/>
    <col collapsed="false" customWidth="true" hidden="true" outlineLevel="0" max="10" min="10" style="0" width="4.33"/>
    <col collapsed="false" customWidth="true" hidden="true" outlineLevel="0" max="13" min="11" style="0" width="6.78"/>
    <col collapsed="false" customWidth="true" hidden="true" outlineLevel="0" max="16" min="14" style="0" width="9.11"/>
    <col collapsed="false" customWidth="true" hidden="true" outlineLevel="0" max="17" min="17" style="0" width="10.45"/>
    <col collapsed="false" customWidth="true" hidden="false" outlineLevel="0" max="1025" min="18" style="0" width="9"/>
  </cols>
  <sheetData>
    <row r="1" customFormat="false" ht="17.4" hidden="false" customHeight="false" outlineLevel="0" collapsed="false">
      <c r="A1" s="44" t="s">
        <v>60</v>
      </c>
    </row>
    <row r="3" customFormat="false" ht="13.2" hidden="false" customHeight="false" outlineLevel="0" collapsed="false">
      <c r="A3" s="0" t="s">
        <v>61</v>
      </c>
      <c r="D3" s="0" t="n">
        <v>102</v>
      </c>
      <c r="F3" s="0" t="s">
        <v>62</v>
      </c>
      <c r="G3" s="51" t="n">
        <f aca="false">IF(COUNT(B28:B39)=0,1,COUNT(B28:B39))</f>
        <v>3</v>
      </c>
    </row>
    <row r="4" customFormat="false" ht="13.2" hidden="false" customHeight="false" outlineLevel="0" collapsed="false">
      <c r="A4" s="0" t="s">
        <v>63</v>
      </c>
      <c r="D4" s="0" t="n">
        <v>3</v>
      </c>
      <c r="E4" s="0" t="s">
        <v>64</v>
      </c>
      <c r="F4" s="0" t="s">
        <v>65</v>
      </c>
      <c r="G4" s="51" t="n">
        <f aca="false">IF(COUNT(D28:D51)=0,1,COUNT(D28:D51)+1)</f>
        <v>1</v>
      </c>
    </row>
    <row r="5" customFormat="false" ht="13.2" hidden="false" customHeight="false" outlineLevel="0" collapsed="false">
      <c r="F5" s="0" t="s">
        <v>66</v>
      </c>
      <c r="G5" s="51" t="n">
        <f aca="false">IF(G4&gt;D4,G4-D4,0)</f>
        <v>0</v>
      </c>
      <c r="Z5" s="26" t="s">
        <v>67</v>
      </c>
    </row>
    <row r="6" customFormat="false" ht="13.2" hidden="false" customHeight="false" outlineLevel="0" collapsed="false">
      <c r="A6" s="8" t="s">
        <v>68</v>
      </c>
      <c r="F6" s="0" t="s">
        <v>69</v>
      </c>
      <c r="G6" s="51" t="n">
        <f aca="false">TrendSprintCount-TrendOffset</f>
        <v>1</v>
      </c>
      <c r="Z6" s="26" t="s">
        <v>70</v>
      </c>
    </row>
    <row r="7" customFormat="false" ht="13.2" hidden="false" customHeight="false" outlineLevel="0" collapsed="false">
      <c r="A7" s="0" t="s">
        <v>71</v>
      </c>
      <c r="D7" s="0" t="n">
        <v>30</v>
      </c>
      <c r="Z7" s="26" t="s">
        <v>72</v>
      </c>
    </row>
    <row r="8" customFormat="false" ht="13.2" hidden="false" customHeight="false" outlineLevel="0" collapsed="false">
      <c r="A8" s="52" t="n">
        <f aca="false">D$4</f>
        <v>3</v>
      </c>
      <c r="B8" s="52"/>
      <c r="D8" s="53" t="str">
        <f aca="true">IF(D28="","",AVERAGE(OFFSET(D27,TrendOffset,0,SprintsInTrend,1)))</f>
        <v/>
      </c>
      <c r="Z8" s="26" t="s">
        <v>73</v>
      </c>
    </row>
    <row r="9" customFormat="false" ht="13.2" hidden="false" customHeight="false" outlineLevel="0" collapsed="false">
      <c r="A9" s="0" t="s">
        <v>74</v>
      </c>
      <c r="D9" s="53" t="str">
        <f aca="true">IF(D28="","",AVERAGE(OFFSET(D27,1,0,SprintCount,1)))</f>
        <v/>
      </c>
      <c r="F9" s="0" t="s">
        <v>75</v>
      </c>
      <c r="G9" s="51" t="n">
        <f aca="false">IF(M28="",1,COUNT(M28:M110))</f>
        <v>0</v>
      </c>
      <c r="Z9" s="26" t="s">
        <v>76</v>
      </c>
    </row>
    <row r="10" customFormat="false" ht="13.2" hidden="false" customHeight="false" outlineLevel="0" collapsed="false">
      <c r="A10" s="0" t="s">
        <v>77</v>
      </c>
      <c r="D10" s="53" t="str">
        <f aca="true">IF(D28="","",AVERAGE(LastEight))</f>
        <v/>
      </c>
      <c r="Z10" s="26" t="s">
        <v>78</v>
      </c>
    </row>
    <row r="11" customFormat="false" ht="13.2" hidden="false" customHeight="false" outlineLevel="0" collapsed="false">
      <c r="A11" s="0" t="s">
        <v>79</v>
      </c>
      <c r="D11" s="53" t="str">
        <f aca="true">IF(D28="","",IF(TrendSprintCount&lt;4,D10,AVERAGE(SMALL(LastEight,1),SMALL(LastEight,2),SMALL(LastEight,3))))</f>
        <v/>
      </c>
      <c r="Z11" s="26" t="s">
        <v>80</v>
      </c>
    </row>
    <row r="12" customFormat="false" ht="13.2" hidden="false" customHeight="false" outlineLevel="0" collapsed="false">
      <c r="A12" s="0" t="s">
        <v>81</v>
      </c>
      <c r="D12" s="53" t="e">
        <f aca="false">IF(M29="","",M28-M29)</f>
        <v>#VALUE!</v>
      </c>
      <c r="Z12" s="26" t="s">
        <v>82</v>
      </c>
    </row>
    <row r="13" customFormat="false" ht="13.2" hidden="false" customHeight="false" outlineLevel="0" collapsed="false">
      <c r="F13" s="54" t="s">
        <v>83</v>
      </c>
      <c r="Z13" s="26" t="s">
        <v>84</v>
      </c>
    </row>
    <row r="14" customFormat="false" ht="13.2" hidden="false" customHeight="false" outlineLevel="0" collapsed="false">
      <c r="A14" s="8" t="s">
        <v>85</v>
      </c>
    </row>
    <row r="15" customFormat="false" ht="13.2" hidden="false" customHeight="false" outlineLevel="0" collapsed="false">
      <c r="A15" s="0" t="s">
        <v>86</v>
      </c>
      <c r="D15" s="55" t="n">
        <f aca="false">IF(D7="",0,ROUNDUP(D3/D7*0.6,0))</f>
        <v>3</v>
      </c>
    </row>
    <row r="16" customFormat="false" ht="13.2" hidden="false" customHeight="false" outlineLevel="0" collapsed="false">
      <c r="A16" s="0" t="s">
        <v>87</v>
      </c>
      <c r="D16" s="55" t="n">
        <f aca="false">IF(D7="",0,ROUNDUP(D3/D7,0))</f>
        <v>4</v>
      </c>
    </row>
    <row r="17" customFormat="false" ht="13.2" hidden="false" customHeight="false" outlineLevel="0" collapsed="false">
      <c r="A17" s="0" t="s">
        <v>88</v>
      </c>
      <c r="D17" s="55" t="n">
        <f aca="false">IF(D7="",0,ROUNDUP(D3/D7*1.6,0))</f>
        <v>6</v>
      </c>
      <c r="F17" s="0" t="s">
        <v>89</v>
      </c>
      <c r="G17" s="0" t="n">
        <f aca="false">IF(OR(D28="",D29=""),1,STDEV(D28:D51))</f>
        <v>1</v>
      </c>
    </row>
    <row r="18" customFormat="false" ht="13.2" hidden="false" customHeight="false" outlineLevel="0" collapsed="false">
      <c r="A18" s="52" t="n">
        <f aca="false">D$4</f>
        <v>3</v>
      </c>
      <c r="B18" s="52"/>
      <c r="D18" s="55" t="str">
        <f aca="true">IF(D8="","",IF(LastRealized="",ROUNDUP(LastPlanned/D8,0)+SprintCount-1,ROUNDUP((LastPlanned-LastRealized)/D8+SprintCount,0)))</f>
        <v/>
      </c>
    </row>
    <row r="19" customFormat="false" ht="13.2" hidden="false" customHeight="false" outlineLevel="0" collapsed="false">
      <c r="A19" s="0" t="s">
        <v>90</v>
      </c>
      <c r="D19" s="55" t="str">
        <f aca="true">IF(D9="","",IF(LastRealized="",ROUNDUP(LastPlanned/D9+SprintCount-1,0),ROUNDUP((LastPlanned-LastRealized)/D9,0)+SprintCount))</f>
        <v/>
      </c>
      <c r="F19" s="0" t="s">
        <v>91</v>
      </c>
      <c r="G19" s="0" t="n">
        <f aca="true">LastPlanned</f>
        <v>31</v>
      </c>
    </row>
    <row r="20" customFormat="false" ht="13.2" hidden="false" customHeight="false" outlineLevel="0" collapsed="false">
      <c r="A20" s="0" t="s">
        <v>77</v>
      </c>
      <c r="D20" s="55" t="str">
        <f aca="true">IF(D10="","",IF(LastRealized="",ROUNDUP(LastPlanned/D10+SprintCount-1,0),ROUNDUP((LastPlanned-LastRealized)/D10,0)+SprintCount))</f>
        <v/>
      </c>
      <c r="F20" s="0" t="s">
        <v>92</v>
      </c>
      <c r="G20" s="0" t="n">
        <f aca="true">LastRealized</f>
        <v>1</v>
      </c>
    </row>
    <row r="21" customFormat="false" ht="13.2" hidden="false" customHeight="false" outlineLevel="0" collapsed="false">
      <c r="A21" s="0" t="s">
        <v>79</v>
      </c>
      <c r="D21" s="55" t="str">
        <f aca="true">IF(D11="","",IF(LastRealized="",ROUNDUP(LastPlanned/D11+SprintCount-1,0),ROUNDUP((LastPlanned-LastRealized)/D11,0)+SprintCount))</f>
        <v/>
      </c>
    </row>
    <row r="22" customFormat="false" ht="13.2" hidden="false" customHeight="false" outlineLevel="0" collapsed="false">
      <c r="A22" s="0" t="s">
        <v>81</v>
      </c>
      <c r="D22" s="55" t="str">
        <f aca="false">IF(COUNT(M28:M51)-1&gt;0,COUNT(M28:M51)-1,"")</f>
        <v/>
      </c>
    </row>
    <row r="23" customFormat="false" ht="13.2" hidden="false" customHeight="false" outlineLevel="0" collapsed="false">
      <c r="A23" s="0" t="s">
        <v>93</v>
      </c>
      <c r="D23" s="55" t="str">
        <f aca="true">IF(D9="","",IF(LastRealized="",ROUNDUP(LastPlanned/(D9+G17)+SprintCount-1,0),ROUNDUP((LastPlanned-LastRealized)/(D9+G17)+SprintCount,0)))</f>
        <v/>
      </c>
    </row>
    <row r="24" customFormat="false" ht="13.2" hidden="false" customHeight="false" outlineLevel="0" collapsed="false">
      <c r="A24" s="0" t="s">
        <v>94</v>
      </c>
      <c r="D24" s="55" t="str">
        <f aca="true">IF(D9="","",IF(LastRealized="",ROUNDUP(LastPlanned/(D9-G17)+SprintCount-1,0),ROUNDUP((LastPlanned-LastRealized)/(D9-G17)+SprintCount,0)))</f>
        <v/>
      </c>
    </row>
    <row r="26" customFormat="false" ht="12.75" hidden="false" customHeight="true" outlineLevel="0" collapsed="false">
      <c r="F26" s="56" t="s">
        <v>81</v>
      </c>
      <c r="G26" s="56"/>
      <c r="H26" s="56"/>
      <c r="I26" s="56"/>
      <c r="J26" s="56"/>
      <c r="K26" s="56"/>
      <c r="L26" s="56"/>
      <c r="M26" s="56"/>
      <c r="N26" s="56"/>
      <c r="O26" s="56" t="s">
        <v>95</v>
      </c>
      <c r="P26" s="56"/>
      <c r="Q26" s="56"/>
    </row>
    <row r="27" s="63" customFormat="true" ht="27" hidden="false" customHeight="true" outlineLevel="0" collapsed="false">
      <c r="A27" s="57" t="s">
        <v>11</v>
      </c>
      <c r="B27" s="58" t="s">
        <v>96</v>
      </c>
      <c r="C27" s="58" t="s">
        <v>97</v>
      </c>
      <c r="D27" s="59" t="s">
        <v>98</v>
      </c>
      <c r="E27" s="59" t="s">
        <v>99</v>
      </c>
      <c r="F27" s="56" t="s">
        <v>100</v>
      </c>
      <c r="G27" s="60" t="s">
        <v>101</v>
      </c>
      <c r="H27" s="60"/>
      <c r="I27" s="56" t="s">
        <v>102</v>
      </c>
      <c r="J27" s="61"/>
      <c r="K27" s="56" t="s">
        <v>103</v>
      </c>
      <c r="L27" s="56" t="s">
        <v>104</v>
      </c>
      <c r="M27" s="56" t="s">
        <v>105</v>
      </c>
      <c r="N27" s="62" t="s">
        <v>106</v>
      </c>
      <c r="O27" s="56" t="s">
        <v>107</v>
      </c>
      <c r="P27" s="56" t="s">
        <v>108</v>
      </c>
      <c r="Q27" s="56" t="s">
        <v>109</v>
      </c>
    </row>
    <row r="28" customFormat="false" ht="13.2" hidden="false" customHeight="false" outlineLevel="0" collapsed="false">
      <c r="A28" s="64" t="n">
        <v>1</v>
      </c>
      <c r="B28" s="1" t="n">
        <f aca="false">D3</f>
        <v>102</v>
      </c>
      <c r="C28" s="1" t="n">
        <v>40</v>
      </c>
      <c r="D28" s="1"/>
      <c r="E28" s="64" t="n">
        <f aca="false">B28</f>
        <v>102</v>
      </c>
      <c r="F28" s="51" t="n">
        <f aca="false">B28</f>
        <v>102</v>
      </c>
      <c r="G28" s="51" t="n">
        <f aca="false">F28</f>
        <v>102</v>
      </c>
      <c r="H28" s="51" t="n">
        <f aca="false">I28</f>
        <v>0</v>
      </c>
      <c r="I28" s="51" t="n">
        <v>0</v>
      </c>
      <c r="K28" s="0" t="n">
        <f aca="false">IF(F28&lt;I28,I28,F28)</f>
        <v>102</v>
      </c>
      <c r="L28" s="51" t="e">
        <f aca="true">IF(TREND(OFFSET($K$27,TrendOffset+1,0,SprintsInTrend,1),OFFSET($A$27,TrendOffset+1,0,SprintsInTrend,1),A28)&lt;N28,N28,TREND(OFFSET($K$27,TrendOffset+1,0,SprintsInTrend,1),OFFSET($A$27,TrendOffset+1,0,SprintsInTrend,1),A28))</f>
        <v>#VALUE!</v>
      </c>
      <c r="M28" s="51" t="e">
        <f aca="false">L28</f>
        <v>#VALUE!</v>
      </c>
      <c r="N28" s="51" t="n">
        <f aca="true">OFFSET($I$27,TrendSprintCount,0,1,1)</f>
        <v>0</v>
      </c>
      <c r="O28" s="65" t="str">
        <f aca="false">D$9</f>
        <v/>
      </c>
      <c r="P28" s="65" t="str">
        <f aca="false">D$10</f>
        <v/>
      </c>
      <c r="Q28" s="65" t="str">
        <f aca="false">D$11</f>
        <v/>
      </c>
    </row>
    <row r="29" customFormat="false" ht="13.2" hidden="false" customHeight="false" outlineLevel="0" collapsed="false">
      <c r="A29" s="64" t="n">
        <v>2</v>
      </c>
      <c r="B29" s="1" t="n">
        <v>62</v>
      </c>
      <c r="C29" s="1" t="n">
        <v>44</v>
      </c>
      <c r="D29" s="1"/>
      <c r="E29" s="64" t="n">
        <f aca="false">IF(B29="","",IF(D28="",E28,B29+SUM(D$28:D28)))</f>
        <v>102</v>
      </c>
      <c r="F29" s="51" t="n">
        <f aca="false">IF(B29="",IF(B28="","",IF(D28="","",I28)),IF(AND(D28="",C28=""),"",IF(AND(D28="",C28&lt;&gt;""),IF(I28&gt;F28,F28,I28),F28-D28)))</f>
        <v>0</v>
      </c>
      <c r="G29" s="51" t="n">
        <f aca="false">F29</f>
        <v>0</v>
      </c>
      <c r="H29" s="51" t="n">
        <f aca="false">I29</f>
        <v>62</v>
      </c>
      <c r="I29" s="51" t="n">
        <f aca="false">IF(B29="",IF(B28="","",IF(D28="","",F28-D28)),IF(AND(C28="",D28=""),"",IF(AND(D28="",C28&lt;&gt;""),IF(I28&gt;F28,I28-C28,F28-C28),B$28-B29-SUM(D$28:D28))))</f>
        <v>62</v>
      </c>
      <c r="K29" s="0" t="n">
        <f aca="false">IF(F29&lt;I29,I29,F29)</f>
        <v>62</v>
      </c>
      <c r="L29" s="51" t="e">
        <f aca="true">IF(TREND(OFFSET($K$27,TrendOffset+1,0,SprintsInTrend,1),OFFSET($A$27,TrendOffset+1,0,SprintsInTrend,1),A29)&lt;N29,N29,TREND(OFFSET($K$27,TrendOffset+1,0,SprintsInTrend,1),OFFSET($A$27,TrendOffset+1,0,SprintsInTrend,1),A29))</f>
        <v>#VALUE!</v>
      </c>
      <c r="M29" s="51" t="e">
        <f aca="false">IF(L29=L28,"",L29)</f>
        <v>#VALUE!</v>
      </c>
      <c r="N29" s="51" t="n">
        <f aca="true">OFFSET($I$27,TrendSprintCount,0,1,1)</f>
        <v>0</v>
      </c>
      <c r="O29" s="65" t="str">
        <f aca="false">D$9</f>
        <v/>
      </c>
      <c r="P29" s="65" t="str">
        <f aca="false">D$10</f>
        <v/>
      </c>
      <c r="Q29" s="65" t="str">
        <f aca="false">D$11</f>
        <v/>
      </c>
    </row>
    <row r="30" customFormat="false" ht="13.2" hidden="false" customHeight="false" outlineLevel="0" collapsed="false">
      <c r="A30" s="64" t="n">
        <v>3</v>
      </c>
      <c r="B30" s="1" t="n">
        <v>31</v>
      </c>
      <c r="C30" s="1" t="n">
        <v>40</v>
      </c>
      <c r="D30" s="1"/>
      <c r="E30" s="64" t="n">
        <f aca="false">IF(B30="","",IF(D29="",E29,B30+SUM(D$28:D29)))</f>
        <v>102</v>
      </c>
      <c r="F30" s="51" t="n">
        <f aca="false">IF(B30="",IF(B29="","",IF(D29="","",I29)),IF(AND(D29="",C29=""),"",IF(AND(D29="",C29&lt;&gt;""),IF(I29&gt;F29,F29,I29),F29-D29)))</f>
        <v>0</v>
      </c>
      <c r="G30" s="51" t="n">
        <f aca="false">F30</f>
        <v>0</v>
      </c>
      <c r="H30" s="51" t="n">
        <f aca="false">I30</f>
        <v>18</v>
      </c>
      <c r="I30" s="51" t="n">
        <f aca="false">IF(B30="",IF(B29="","",IF(D29="","",F29-D29)),IF(AND(C29="",D29=""),"",IF(AND(D29="",C29&lt;&gt;""),IF(I29&gt;F29,I29-C29,F29-C29),B$28-B30-SUM(D$28:D29))))</f>
        <v>18</v>
      </c>
      <c r="K30" s="0" t="n">
        <f aca="false">IF(F30&lt;I30,I30,F30)</f>
        <v>18</v>
      </c>
      <c r="L30" s="51" t="e">
        <f aca="true">IF(TREND(OFFSET($K$27,TrendOffset+1,0,SprintsInTrend,1),OFFSET($A$27,TrendOffset+1,0,SprintsInTrend,1),A30)&lt;N30,N30,TREND(OFFSET($K$27,TrendOffset+1,0,SprintsInTrend,1),OFFSET($A$27,TrendOffset+1,0,SprintsInTrend,1),A30))</f>
        <v>#VALUE!</v>
      </c>
      <c r="M30" s="51" t="e">
        <f aca="false">IF(L30=L29,"",L30)</f>
        <v>#VALUE!</v>
      </c>
      <c r="N30" s="51" t="n">
        <f aca="true">OFFSET($I$27,TrendSprintCount,0,1,1)</f>
        <v>0</v>
      </c>
      <c r="O30" s="65" t="str">
        <f aca="false">D$9</f>
        <v/>
      </c>
      <c r="P30" s="65" t="str">
        <f aca="false">D$10</f>
        <v/>
      </c>
      <c r="Q30" s="65" t="str">
        <f aca="false">D$11</f>
        <v/>
      </c>
    </row>
    <row r="31" customFormat="false" ht="13.2" hidden="false" customHeight="false" outlineLevel="0" collapsed="false">
      <c r="A31" s="64" t="n">
        <v>4</v>
      </c>
      <c r="B31" s="1"/>
      <c r="C31" s="1"/>
      <c r="D31" s="1"/>
      <c r="E31" s="64" t="str">
        <f aca="false">IF(B31="","",IF(D30="",E30,B31+SUM(D$28:D30)))</f>
        <v/>
      </c>
      <c r="F31" s="51" t="str">
        <f aca="false">IF(B31="",IF(B30="","",IF(D30="","",I30)),IF(AND(D30="",C30=""),"",IF(AND(D30="",C30&lt;&gt;""),IF(I30&gt;F30,F30,I30),F30-D30)))</f>
        <v/>
      </c>
      <c r="G31" s="51" t="str">
        <f aca="false">F31</f>
        <v/>
      </c>
      <c r="H31" s="51" t="str">
        <f aca="false">I31</f>
        <v/>
      </c>
      <c r="I31" s="51" t="str">
        <f aca="false">IF(B31="",IF(B30="","",IF(D30="","",F30-D30)),IF(AND(C30="",D30=""),"",IF(AND(D30="",C30&lt;&gt;""),IF(I30&gt;F30,I30-C30,F30-C30),B$28-B31-SUM(D$28:D30))))</f>
        <v/>
      </c>
      <c r="K31" s="0" t="str">
        <f aca="false">IF(F31&lt;I31,I31,F31)</f>
        <v/>
      </c>
      <c r="L31" s="51" t="e">
        <f aca="true">IF(TREND(OFFSET($K$27,TrendOffset+1,0,SprintsInTrend,1),OFFSET($A$27,TrendOffset+1,0,SprintsInTrend,1),A31)&lt;N31,N31,TREND(OFFSET($K$27,TrendOffset+1,0,SprintsInTrend,1),OFFSET($A$27,TrendOffset+1,0,SprintsInTrend,1),A31))</f>
        <v>#VALUE!</v>
      </c>
      <c r="M31" s="51" t="e">
        <f aca="false">IF(L31=L30,"",L31)</f>
        <v>#VALUE!</v>
      </c>
      <c r="N31" s="51" t="n">
        <f aca="true">OFFSET($I$27,TrendSprintCount,0,1,1)</f>
        <v>0</v>
      </c>
      <c r="O31" s="65" t="str">
        <f aca="false">D$9</f>
        <v/>
      </c>
      <c r="P31" s="65" t="str">
        <f aca="false">D$10</f>
        <v/>
      </c>
      <c r="Q31" s="65" t="str">
        <f aca="false">D$11</f>
        <v/>
      </c>
    </row>
    <row r="32" customFormat="false" ht="13.2" hidden="false" customHeight="false" outlineLevel="0" collapsed="false">
      <c r="A32" s="64" t="n">
        <v>5</v>
      </c>
      <c r="B32" s="1"/>
      <c r="C32" s="1"/>
      <c r="D32" s="1"/>
      <c r="E32" s="64"/>
      <c r="F32" s="51" t="str">
        <f aca="false">IF(B32="",IF(B31="","",IF(D31="","",I31)),IF(AND(D31="",C31=""),"",IF(AND(D31="",C31&lt;&gt;""),IF(I31&gt;F31,F31,I31),F31-D31)))</f>
        <v/>
      </c>
      <c r="G32" s="51" t="str">
        <f aca="false">F32</f>
        <v/>
      </c>
      <c r="H32" s="51" t="str">
        <f aca="false">I32</f>
        <v/>
      </c>
      <c r="I32" s="51" t="str">
        <f aca="false">IF(B32="",IF(B31="","",IF(D31="","",F31-D31)),IF(AND(C31="",D31=""),"",IF(AND(D31="",C31&lt;&gt;""),IF(I31&gt;F31,I31-C31,F31-C31),B$28-B32-SUM(D$28:D31))))</f>
        <v/>
      </c>
      <c r="K32" s="0" t="str">
        <f aca="false">IF(F32&lt;I32,I32,F32)</f>
        <v/>
      </c>
      <c r="L32" s="51" t="e">
        <f aca="true">IF(TREND(OFFSET($K$27,TrendOffset+1,0,SprintsInTrend,1),OFFSET($A$27,TrendOffset+1,0,SprintsInTrend,1),A32)&lt;N32,N32,TREND(OFFSET($K$27,TrendOffset+1,0,SprintsInTrend,1),OFFSET($A$27,TrendOffset+1,0,SprintsInTrend,1),A32))</f>
        <v>#VALUE!</v>
      </c>
      <c r="M32" s="51" t="e">
        <f aca="false">IF(L32=L31,"",L32)</f>
        <v>#VALUE!</v>
      </c>
      <c r="N32" s="51" t="n">
        <f aca="true">OFFSET($I$27,TrendSprintCount,0,1,1)</f>
        <v>0</v>
      </c>
      <c r="O32" s="65" t="str">
        <f aca="false">D$9</f>
        <v/>
      </c>
      <c r="P32" s="65" t="str">
        <f aca="false">D$10</f>
        <v/>
      </c>
      <c r="Q32" s="65" t="str">
        <f aca="false">D$11</f>
        <v/>
      </c>
    </row>
    <row r="33" customFormat="false" ht="13.2" hidden="false" customHeight="false" outlineLevel="0" collapsed="false">
      <c r="A33" s="64" t="n">
        <v>6</v>
      </c>
      <c r="B33" s="1" t="str">
        <f aca="false">IF(OR(B32="",C32=""),"",IF(D32="",IF(B32-C32&lt;=0,"",B32-C32),IF(B32-D32&lt;=0,"",B32-D32)))</f>
        <v/>
      </c>
      <c r="C33" s="1"/>
      <c r="D33" s="1"/>
      <c r="E33" s="64" t="str">
        <f aca="false">IF(B33="","",IF(D32="",E32,B33+SUM(D$28:D32)))</f>
        <v/>
      </c>
      <c r="F33" s="51" t="str">
        <f aca="false">IF(B33="",IF(B32="","",IF(D32="","",I32)),IF(AND(D32="",C32=""),"",IF(AND(D32="",C32&lt;&gt;""),IF(I32&gt;F32,F32,I32),F32-D32)))</f>
        <v/>
      </c>
      <c r="G33" s="51" t="str">
        <f aca="false">F33</f>
        <v/>
      </c>
      <c r="H33" s="51" t="str">
        <f aca="false">I33</f>
        <v/>
      </c>
      <c r="I33" s="51" t="str">
        <f aca="false">IF(B33="",IF(B32="","",IF(D32="","",F32-D32)),IF(AND(C32="",D32=""),"",IF(AND(D32="",C32&lt;&gt;""),IF(I32&gt;F32,I32-C32,F32-C32),B$28-B33-SUM(D$28:D32))))</f>
        <v/>
      </c>
      <c r="K33" s="0" t="str">
        <f aca="false">IF(F33&lt;I33,I33,F33)</f>
        <v/>
      </c>
      <c r="L33" s="51" t="e">
        <f aca="true">IF(TREND(OFFSET($K$27,TrendOffset+1,0,SprintsInTrend,1),OFFSET($A$27,TrendOffset+1,0,SprintsInTrend,1),A33)&lt;N33,N33,TREND(OFFSET($K$27,TrendOffset+1,0,SprintsInTrend,1),OFFSET($A$27,TrendOffset+1,0,SprintsInTrend,1),A33))</f>
        <v>#VALUE!</v>
      </c>
      <c r="M33" s="51" t="e">
        <f aca="false">IF(L33=L32,"",L33)</f>
        <v>#VALUE!</v>
      </c>
      <c r="N33" s="51" t="n">
        <f aca="true">OFFSET($I$27,TrendSprintCount,0,1,1)</f>
        <v>0</v>
      </c>
      <c r="O33" s="65" t="str">
        <f aca="false">D$9</f>
        <v/>
      </c>
      <c r="P33" s="65" t="str">
        <f aca="false">D$10</f>
        <v/>
      </c>
      <c r="Q33" s="65" t="str">
        <f aca="false">D$11</f>
        <v/>
      </c>
    </row>
    <row r="34" customFormat="false" ht="13.2" hidden="false" customHeight="false" outlineLevel="0" collapsed="false">
      <c r="A34" s="64" t="n">
        <v>7</v>
      </c>
      <c r="B34" s="1" t="str">
        <f aca="false">IF(OR(B33="",C33=""),"",IF(D33="",IF(B33-C33&lt;=0,"",B33-C33),IF(B33-D33&lt;=0,"",B33-D33)))</f>
        <v/>
      </c>
      <c r="C34" s="1"/>
      <c r="D34" s="1"/>
      <c r="E34" s="64" t="str">
        <f aca="false">IF(B34="","",IF(D33="",E33,B34+SUM(D$28:D33)))</f>
        <v/>
      </c>
      <c r="F34" s="51" t="str">
        <f aca="false">IF(B34="",IF(B33="","",IF(D33="","",I33)),IF(AND(D33="",C33=""),"",IF(AND(D33="",C33&lt;&gt;""),IF(I33&gt;F33,F33,I33),F33-D33)))</f>
        <v/>
      </c>
      <c r="G34" s="51" t="str">
        <f aca="false">F34</f>
        <v/>
      </c>
      <c r="H34" s="51" t="str">
        <f aca="false">I34</f>
        <v/>
      </c>
      <c r="I34" s="51" t="str">
        <f aca="false">IF(B34="",IF(B33="","",IF(D33="","",F33-D33)),IF(AND(C33="",D33=""),"",IF(AND(D33="",C33&lt;&gt;""),IF(I33&gt;F33,I33-C33,F33-C33),B$28-B34-SUM(D$28:D33))))</f>
        <v/>
      </c>
      <c r="K34" s="0" t="str">
        <f aca="false">IF(F34&lt;I34,I34,F34)</f>
        <v/>
      </c>
      <c r="L34" s="51" t="e">
        <f aca="true">IF(TREND(OFFSET($K$27,TrendOffset+1,0,SprintsInTrend,1),OFFSET($A$27,TrendOffset+1,0,SprintsInTrend,1),A34)&lt;N34,N34,TREND(OFFSET($K$27,TrendOffset+1,0,SprintsInTrend,1),OFFSET($A$27,TrendOffset+1,0,SprintsInTrend,1),A34))</f>
        <v>#VALUE!</v>
      </c>
      <c r="M34" s="51" t="e">
        <f aca="false">IF(L34=L33,"",L34)</f>
        <v>#VALUE!</v>
      </c>
      <c r="N34" s="51" t="n">
        <f aca="true">OFFSET($I$27,TrendSprintCount,0,1,1)</f>
        <v>0</v>
      </c>
      <c r="O34" s="65" t="str">
        <f aca="false">D$9</f>
        <v/>
      </c>
      <c r="P34" s="65" t="str">
        <f aca="false">D$10</f>
        <v/>
      </c>
      <c r="Q34" s="65" t="str">
        <f aca="false">D$11</f>
        <v/>
      </c>
    </row>
    <row r="35" customFormat="false" ht="13.2" hidden="false" customHeight="false" outlineLevel="0" collapsed="false">
      <c r="A35" s="64" t="n">
        <v>8</v>
      </c>
      <c r="B35" s="1" t="str">
        <f aca="false">IF(OR(B34="",C34=""),"",IF(D34="",IF(B34-C34&lt;=0,"",B34-C34),IF(B34-D34&lt;=0,"",B34-D34)))</f>
        <v/>
      </c>
      <c r="C35" s="1"/>
      <c r="D35" s="1"/>
      <c r="E35" s="64" t="str">
        <f aca="false">IF(B35="","",IF(D34="",E34,B35+SUM(D$28:D34)))</f>
        <v/>
      </c>
      <c r="F35" s="51" t="str">
        <f aca="false">IF(B35="",IF(B34="","",IF(D34="","",I34)),IF(AND(D34="",C34=""),"",IF(AND(D34="",C34&lt;&gt;""),IF(I34&gt;F34,F34,I34),F34-D34)))</f>
        <v/>
      </c>
      <c r="G35" s="51" t="str">
        <f aca="false">F35</f>
        <v/>
      </c>
      <c r="H35" s="51" t="str">
        <f aca="false">I35</f>
        <v/>
      </c>
      <c r="I35" s="51" t="str">
        <f aca="false">IF(B35="",IF(B34="","",IF(D34="","",F34-D34)),IF(AND(C34="",D34=""),"",IF(AND(D34="",C34&lt;&gt;""),IF(I34&gt;F34,I34-C34,F34-C34),B$28-B35-SUM(D$28:D34))))</f>
        <v/>
      </c>
      <c r="K35" s="0" t="str">
        <f aca="false">IF(F35&lt;I35,I35,F35)</f>
        <v/>
      </c>
      <c r="L35" s="51" t="e">
        <f aca="true">IF(TREND(OFFSET($K$27,TrendOffset+1,0,SprintsInTrend,1),OFFSET($A$27,TrendOffset+1,0,SprintsInTrend,1),A35)&lt;N35,N35,TREND(OFFSET($K$27,TrendOffset+1,0,SprintsInTrend,1),OFFSET($A$27,TrendOffset+1,0,SprintsInTrend,1),A35))</f>
        <v>#VALUE!</v>
      </c>
      <c r="M35" s="51" t="e">
        <f aca="false">IF(L35=L34,"",L35)</f>
        <v>#VALUE!</v>
      </c>
      <c r="N35" s="51" t="n">
        <f aca="true">OFFSET($I$27,TrendSprintCount,0,1,1)</f>
        <v>0</v>
      </c>
      <c r="O35" s="65" t="str">
        <f aca="false">D$9</f>
        <v/>
      </c>
      <c r="P35" s="65" t="str">
        <f aca="false">D$10</f>
        <v/>
      </c>
      <c r="Q35" s="65" t="str">
        <f aca="false">D$11</f>
        <v/>
      </c>
    </row>
    <row r="36" customFormat="false" ht="13.2" hidden="false" customHeight="false" outlineLevel="0" collapsed="false">
      <c r="A36" s="64" t="n">
        <v>9</v>
      </c>
      <c r="B36" s="1" t="str">
        <f aca="false">IF(OR(B35="",C35=""),"",IF(D35="",IF(B35-C35&lt;=0,"",B35-C35),IF(B35-D35&lt;=0,"",B35-D35)))</f>
        <v/>
      </c>
      <c r="C36" s="1"/>
      <c r="D36" s="1"/>
      <c r="E36" s="64" t="str">
        <f aca="false">IF(B36="","",IF(D35="",E35,B36+SUM(D$28:D35)))</f>
        <v/>
      </c>
      <c r="F36" s="51" t="str">
        <f aca="false">IF(B36="",IF(B35="","",IF(D35="","",I35)),IF(AND(D35="",C35=""),"",IF(AND(D35="",C35&lt;&gt;""),IF(I35&gt;F35,F35,I35),F35-D35)))</f>
        <v/>
      </c>
      <c r="G36" s="51" t="str">
        <f aca="false">F36</f>
        <v/>
      </c>
      <c r="H36" s="51" t="str">
        <f aca="false">I36</f>
        <v/>
      </c>
      <c r="I36" s="51" t="str">
        <f aca="false">IF(B36="",IF(B35="","",IF(D35="","",F35-D35)),IF(AND(C35="",D35=""),"",IF(AND(D35="",C35&lt;&gt;""),IF(I35&gt;F35,I35-C35,F35-C35),B$28-B36-SUM(D$28:D35))))</f>
        <v/>
      </c>
      <c r="K36" s="0" t="str">
        <f aca="false">IF(F36&lt;I36,I36,F36)</f>
        <v/>
      </c>
      <c r="L36" s="51" t="e">
        <f aca="true">IF(TREND(OFFSET($K$27,TrendOffset+1,0,SprintsInTrend,1),OFFSET($A$27,TrendOffset+1,0,SprintsInTrend,1),A36)&lt;N36,N36,TREND(OFFSET($K$27,TrendOffset+1,0,SprintsInTrend,1),OFFSET($A$27,TrendOffset+1,0,SprintsInTrend,1),A36))</f>
        <v>#VALUE!</v>
      </c>
      <c r="M36" s="51" t="e">
        <f aca="false">IF(L36=L35,"",L36)</f>
        <v>#VALUE!</v>
      </c>
      <c r="N36" s="51" t="n">
        <f aca="true">OFFSET($I$27,TrendSprintCount,0,1,1)</f>
        <v>0</v>
      </c>
      <c r="O36" s="65" t="str">
        <f aca="false">D$9</f>
        <v/>
      </c>
      <c r="P36" s="65" t="str">
        <f aca="false">D$10</f>
        <v/>
      </c>
      <c r="Q36" s="65" t="str">
        <f aca="false">D$11</f>
        <v/>
      </c>
    </row>
    <row r="37" customFormat="false" ht="13.2" hidden="false" customHeight="false" outlineLevel="0" collapsed="false">
      <c r="A37" s="64" t="n">
        <v>10</v>
      </c>
      <c r="B37" s="1" t="str">
        <f aca="false">IF(OR(B36="",C36=""),"",IF(D36="",IF(B36-C36&lt;=0,"",B36-C36),IF(B36-D36&lt;=0,"",B36-D36)))</f>
        <v/>
      </c>
      <c r="C37" s="1"/>
      <c r="D37" s="1"/>
      <c r="E37" s="64" t="str">
        <f aca="false">IF(B37="","",IF(D36="",E36,B37+SUM(D$28:D36)))</f>
        <v/>
      </c>
      <c r="F37" s="51" t="str">
        <f aca="false">IF(B37="",IF(B36="","",IF(D36="","",I36)),IF(AND(D36="",C36=""),"",IF(AND(D36="",C36&lt;&gt;""),IF(I36&gt;F36,F36,I36),F36-D36)))</f>
        <v/>
      </c>
      <c r="G37" s="51" t="str">
        <f aca="false">F37</f>
        <v/>
      </c>
      <c r="H37" s="51" t="str">
        <f aca="false">I37</f>
        <v/>
      </c>
      <c r="I37" s="51" t="str">
        <f aca="false">IF(B37="",IF(B36="","",IF(D36="","",F36-D36)),IF(AND(C36="",D36=""),"",IF(AND(D36="",C36&lt;&gt;""),IF(I36&gt;F36,I36-C36,F36-C36),B$28-B37-SUM(D$28:D36))))</f>
        <v/>
      </c>
      <c r="K37" s="0" t="str">
        <f aca="false">IF(F37&lt;I37,I37,F37)</f>
        <v/>
      </c>
      <c r="L37" s="51" t="e">
        <f aca="true">IF(TREND(OFFSET($K$27,TrendOffset+1,0,SprintsInTrend,1),OFFSET($A$27,TrendOffset+1,0,SprintsInTrend,1),A37)&lt;N37,N37,TREND(OFFSET($K$27,TrendOffset+1,0,SprintsInTrend,1),OFFSET($A$27,TrendOffset+1,0,SprintsInTrend,1),A37))</f>
        <v>#VALUE!</v>
      </c>
      <c r="M37" s="51" t="e">
        <f aca="false">IF(L37=L36,"",L37)</f>
        <v>#VALUE!</v>
      </c>
      <c r="N37" s="51" t="n">
        <f aca="true">OFFSET($I$27,TrendSprintCount,0,1,1)</f>
        <v>0</v>
      </c>
      <c r="O37" s="65" t="str">
        <f aca="false">D$9</f>
        <v/>
      </c>
      <c r="P37" s="65" t="str">
        <f aca="false">D$10</f>
        <v/>
      </c>
      <c r="Q37" s="65" t="str">
        <f aca="false">D$11</f>
        <v/>
      </c>
    </row>
    <row r="38" customFormat="false" ht="13.2" hidden="false" customHeight="false" outlineLevel="0" collapsed="false">
      <c r="A38" s="64" t="n">
        <v>11</v>
      </c>
      <c r="B38" s="1" t="str">
        <f aca="false">IF(OR(B37="",C37=""),"",IF(D37="",IF(B37-C37&lt;=0,"",B37-C37),IF(B37-D37&lt;=0,"",B37-D37)))</f>
        <v/>
      </c>
      <c r="C38" s="1"/>
      <c r="D38" s="1"/>
      <c r="E38" s="64" t="str">
        <f aca="false">IF(B38="","",IF(D37="",E37,B38+SUM(D$28:D37)))</f>
        <v/>
      </c>
      <c r="F38" s="51" t="str">
        <f aca="false">IF(B38="",IF(B37="","",IF(D37="","",I37)),IF(AND(D37="",C37=""),"",IF(AND(D37="",C37&lt;&gt;""),IF(I37&gt;F37,F37,I37),F37-D37)))</f>
        <v/>
      </c>
      <c r="G38" s="51" t="str">
        <f aca="false">F38</f>
        <v/>
      </c>
      <c r="H38" s="51" t="str">
        <f aca="false">I38</f>
        <v/>
      </c>
      <c r="I38" s="51" t="str">
        <f aca="false">IF(B38="",IF(B37="","",IF(D37="","",F37-D37)),IF(AND(C37="",D37=""),"",IF(AND(D37="",C37&lt;&gt;""),IF(I37&gt;F37,I37-C37,F37-C37),B$28-B38-SUM(D$28:D37))))</f>
        <v/>
      </c>
      <c r="K38" s="0" t="str">
        <f aca="false">IF(F38&lt;I38,I38,F38)</f>
        <v/>
      </c>
      <c r="L38" s="51" t="e">
        <f aca="true">IF(TREND(OFFSET($K$27,TrendOffset+1,0,SprintsInTrend,1),OFFSET($A$27,TrendOffset+1,0,SprintsInTrend,1),A38)&lt;N38,N38,TREND(OFFSET($K$27,TrendOffset+1,0,SprintsInTrend,1),OFFSET($A$27,TrendOffset+1,0,SprintsInTrend,1),A38))</f>
        <v>#VALUE!</v>
      </c>
      <c r="M38" s="51" t="e">
        <f aca="false">IF(L38=L37,"",L38)</f>
        <v>#VALUE!</v>
      </c>
      <c r="N38" s="51" t="n">
        <f aca="true">OFFSET($I$27,TrendSprintCount,0,1,1)</f>
        <v>0</v>
      </c>
      <c r="O38" s="65" t="str">
        <f aca="false">D$9</f>
        <v/>
      </c>
      <c r="P38" s="65" t="str">
        <f aca="false">D$10</f>
        <v/>
      </c>
      <c r="Q38" s="65" t="str">
        <f aca="false">D$11</f>
        <v/>
      </c>
    </row>
    <row r="39" customFormat="false" ht="13.2" hidden="false" customHeight="false" outlineLevel="0" collapsed="false">
      <c r="A39" s="64" t="n">
        <v>12</v>
      </c>
      <c r="B39" s="1" t="str">
        <f aca="false">IF(OR(B38="",C38=""),"",IF(D38="",IF(B38-C38&lt;=0,"",B38-C38),IF(B38-D38&lt;=0,"",B38-D38)))</f>
        <v/>
      </c>
      <c r="C39" s="1"/>
      <c r="D39" s="1"/>
      <c r="E39" s="64" t="str">
        <f aca="false">IF(B39="","",IF(D38="",E38,B39+SUM(D$28:D38)))</f>
        <v/>
      </c>
      <c r="F39" s="51" t="str">
        <f aca="false">IF(B39="",IF(B38="","",IF(D38="","",I38)),IF(AND(D38="",C38=""),"",IF(AND(D38="",C38&lt;&gt;""),IF(I38&gt;F38,F38,I38),F38-D38)))</f>
        <v/>
      </c>
      <c r="G39" s="51" t="str">
        <f aca="false">F39</f>
        <v/>
      </c>
      <c r="H39" s="51" t="str">
        <f aca="false">I39</f>
        <v/>
      </c>
      <c r="I39" s="51" t="str">
        <f aca="false">IF(B39="",IF(B38="","",IF(D38="","",F38-D38)),IF(AND(C38="",D38=""),"",IF(AND(D38="",C38&lt;&gt;""),IF(I38&gt;F38,I38-C38,F38-C38),B$28-B39-SUM(D$28:D38))))</f>
        <v/>
      </c>
      <c r="K39" s="0" t="str">
        <f aca="false">IF(F39&lt;I39,I39,F39)</f>
        <v/>
      </c>
      <c r="L39" s="51" t="e">
        <f aca="true">IF(TREND(OFFSET($K$27,TrendOffset+1,0,SprintsInTrend,1),OFFSET($A$27,TrendOffset+1,0,SprintsInTrend,1),A39)&lt;N39,N39,TREND(OFFSET($K$27,TrendOffset+1,0,SprintsInTrend,1),OFFSET($A$27,TrendOffset+1,0,SprintsInTrend,1),A39))</f>
        <v>#VALUE!</v>
      </c>
      <c r="M39" s="51" t="e">
        <f aca="false">IF(L39=L38,"",L39)</f>
        <v>#VALUE!</v>
      </c>
      <c r="N39" s="51" t="n">
        <f aca="true">OFFSET($I$27,TrendSprintCount,0,1,1)</f>
        <v>0</v>
      </c>
      <c r="O39" s="65" t="str">
        <f aca="false">D$9</f>
        <v/>
      </c>
      <c r="P39" s="65" t="str">
        <f aca="false">D$10</f>
        <v/>
      </c>
      <c r="Q39" s="65" t="str">
        <f aca="false">D$11</f>
        <v/>
      </c>
    </row>
    <row r="40" customFormat="false" ht="13.2" hidden="false" customHeight="false" outlineLevel="0" collapsed="false">
      <c r="A40" s="64" t="n">
        <v>13</v>
      </c>
      <c r="B40" s="1" t="str">
        <f aca="false">IF(OR(B39="",C39=""),"",IF(D39="",IF(B39-C39&lt;=0,"",B39-C39),IF(B39-D39&lt;=0,"",B39-D39)))</f>
        <v/>
      </c>
      <c r="C40" s="1"/>
      <c r="E40" s="64" t="str">
        <f aca="false">IF(B40="","",IF(D39="",E39,B40+SUM(D$28:D39)))</f>
        <v/>
      </c>
      <c r="F40" s="51" t="str">
        <f aca="false">IF(B40="",IF(B39="","",IF(D39="","",I39)),IF(AND(D39="",C39=""),"",IF(AND(D39="",C39&lt;&gt;""),IF(I39&gt;F39,F39,I39),F39-D39)))</f>
        <v/>
      </c>
      <c r="G40" s="51" t="str">
        <f aca="false">F40</f>
        <v/>
      </c>
      <c r="H40" s="51" t="str">
        <f aca="false">I40</f>
        <v/>
      </c>
      <c r="I40" s="51" t="str">
        <f aca="false">IF(B40="",IF(B39="","",IF(D39="","",F39-D39)),IF(AND(C39="",D39=""),"",IF(AND(D39="",C39&lt;&gt;""),IF(I39&gt;F39,I39-C39,F39-C39),B$28-B40-SUM(D$28:D39))))</f>
        <v/>
      </c>
      <c r="K40" s="0" t="str">
        <f aca="false">IF(F40&lt;I40,I40,F40)</f>
        <v/>
      </c>
      <c r="L40" s="51" t="e">
        <f aca="true">IF(TREND(OFFSET($K$27,TrendOffset+1,0,SprintsInTrend,1),OFFSET($A$27,TrendOffset+1,0,SprintsInTrend,1),A40)&lt;N40,N40,TREND(OFFSET($K$27,TrendOffset+1,0,SprintsInTrend,1),OFFSET($A$27,TrendOffset+1,0,SprintsInTrend,1),A40))</f>
        <v>#VALUE!</v>
      </c>
      <c r="M40" s="51" t="e">
        <f aca="false">IF(L40=L39,"",L40)</f>
        <v>#VALUE!</v>
      </c>
      <c r="N40" s="51" t="n">
        <f aca="true">OFFSET($I$27,TrendSprintCount,0,1,1)</f>
        <v>0</v>
      </c>
      <c r="O40" s="65" t="str">
        <f aca="false">D$9</f>
        <v/>
      </c>
      <c r="P40" s="65" t="str">
        <f aca="false">D$10</f>
        <v/>
      </c>
      <c r="Q40" s="65" t="str">
        <f aca="false">D$11</f>
        <v/>
      </c>
    </row>
    <row r="41" customFormat="false" ht="13.2" hidden="false" customHeight="false" outlineLevel="0" collapsed="false">
      <c r="A41" s="64" t="n">
        <v>14</v>
      </c>
      <c r="B41" s="1" t="str">
        <f aca="false">IF(OR(B40="",C40=""),"",IF(D40="",IF(B40-C40&lt;=0,"",B40-C40),IF(B40-D40&lt;=0,"",B40-D40)))</f>
        <v/>
      </c>
      <c r="C41" s="1"/>
      <c r="E41" s="64" t="str">
        <f aca="false">IF(B41="","",IF(D40="",E40,B41+SUM(D$28:D40)))</f>
        <v/>
      </c>
      <c r="F41" s="51" t="str">
        <f aca="false">IF(B41="",IF(B40="","",IF(D40="","",I40)),IF(AND(D40="",C40=""),"",IF(AND(D40="",C40&lt;&gt;""),IF(I40&gt;F40,F40,I40),F40-D40)))</f>
        <v/>
      </c>
      <c r="G41" s="51" t="str">
        <f aca="false">F41</f>
        <v/>
      </c>
      <c r="H41" s="51" t="str">
        <f aca="false">I41</f>
        <v/>
      </c>
      <c r="I41" s="51" t="str">
        <f aca="false">IF(B41="",IF(B40="","",IF(D40="","",F40-D40)),IF(AND(C40="",D40=""),"",IF(AND(D40="",C40&lt;&gt;""),IF(I40&gt;F40,I40-C40,F40-C40),B$28-B41-SUM(D$28:D40))))</f>
        <v/>
      </c>
      <c r="K41" s="0" t="str">
        <f aca="false">IF(F41&lt;I41,I41,F41)</f>
        <v/>
      </c>
      <c r="L41" s="51" t="e">
        <f aca="true">IF(TREND(OFFSET($K$27,TrendOffset+1,0,SprintsInTrend,1),OFFSET($A$27,TrendOffset+1,0,SprintsInTrend,1),A41)&lt;N41,N41,TREND(OFFSET($K$27,TrendOffset+1,0,SprintsInTrend,1),OFFSET($A$27,TrendOffset+1,0,SprintsInTrend,1),A41))</f>
        <v>#VALUE!</v>
      </c>
      <c r="M41" s="51" t="e">
        <f aca="false">IF(L41=L40,"",L41)</f>
        <v>#VALUE!</v>
      </c>
      <c r="N41" s="51" t="n">
        <f aca="true">OFFSET($I$27,TrendSprintCount,0,1,1)</f>
        <v>0</v>
      </c>
      <c r="O41" s="65" t="str">
        <f aca="false">D$9</f>
        <v/>
      </c>
      <c r="P41" s="65" t="str">
        <f aca="false">D$10</f>
        <v/>
      </c>
      <c r="Q41" s="65" t="str">
        <f aca="false">D$11</f>
        <v/>
      </c>
    </row>
    <row r="42" customFormat="false" ht="13.2" hidden="false" customHeight="false" outlineLevel="0" collapsed="false">
      <c r="A42" s="64" t="n">
        <v>15</v>
      </c>
      <c r="B42" s="1" t="str">
        <f aca="false">IF(OR(B41="",C41=""),"",IF(D41="",IF(B41-C41&lt;=0,"",B41-C41),IF(B41-D41&lt;=0,"",B41-D41)))</f>
        <v/>
      </c>
      <c r="C42" s="1"/>
      <c r="E42" s="64" t="str">
        <f aca="false">IF(B42="","",IF(D41="",E41,B42+SUM(D$28:D41)))</f>
        <v/>
      </c>
      <c r="F42" s="51" t="str">
        <f aca="false">IF(B42="",IF(B41="","",IF(D41="","",I41)),IF(AND(D41="",C41=""),"",IF(AND(D41="",C41&lt;&gt;""),IF(I41&gt;F41,F41,I41),F41-D41)))</f>
        <v/>
      </c>
      <c r="G42" s="51" t="str">
        <f aca="false">F42</f>
        <v/>
      </c>
      <c r="H42" s="51" t="str">
        <f aca="false">I42</f>
        <v/>
      </c>
      <c r="I42" s="51" t="str">
        <f aca="false">IF(B42="",IF(B41="","",IF(D41="","",F41-D41)),IF(AND(C41="",D41=""),"",IF(AND(D41="",C41&lt;&gt;""),IF(I41&gt;F41,I41-C41,F41-C41),B$28-B42-SUM(D$28:D41))))</f>
        <v/>
      </c>
      <c r="K42" s="0" t="str">
        <f aca="false">IF(F42&lt;I42,I42,F42)</f>
        <v/>
      </c>
      <c r="L42" s="51" t="e">
        <f aca="true">IF(TREND(OFFSET($K$27,TrendOffset+1,0,SprintsInTrend,1),OFFSET($A$27,TrendOffset+1,0,SprintsInTrend,1),A42)&lt;N42,N42,TREND(OFFSET($K$27,TrendOffset+1,0,SprintsInTrend,1),OFFSET($A$27,TrendOffset+1,0,SprintsInTrend,1),A42))</f>
        <v>#VALUE!</v>
      </c>
      <c r="M42" s="51" t="e">
        <f aca="false">IF(L42=L41,"",L42)</f>
        <v>#VALUE!</v>
      </c>
      <c r="N42" s="51" t="n">
        <f aca="true">OFFSET($I$27,TrendSprintCount,0,1,1)</f>
        <v>0</v>
      </c>
      <c r="O42" s="65" t="str">
        <f aca="false">D$9</f>
        <v/>
      </c>
      <c r="P42" s="65" t="str">
        <f aca="false">D$10</f>
        <v/>
      </c>
      <c r="Q42" s="65" t="str">
        <f aca="false">D$11</f>
        <v/>
      </c>
    </row>
    <row r="43" customFormat="false" ht="13.2" hidden="false" customHeight="false" outlineLevel="0" collapsed="false">
      <c r="A43" s="64" t="n">
        <v>16</v>
      </c>
      <c r="B43" s="1" t="str">
        <f aca="false">IF(OR(B42="",C42=""),"",IF(D42="",IF(B42-C42&lt;=0,"",B42-C42),IF(B42-D42&lt;=0,"",B42-D42)))</f>
        <v/>
      </c>
      <c r="C43" s="1"/>
      <c r="E43" s="64" t="str">
        <f aca="false">IF(B43="","",IF(D42="",E42,B43+SUM(D$28:D42)))</f>
        <v/>
      </c>
      <c r="F43" s="51" t="str">
        <f aca="false">IF(B43="",IF(B42="","",IF(D42="","",I42)),IF(AND(D42="",C42=""),"",IF(AND(D42="",C42&lt;&gt;""),IF(I42&gt;F42,F42,I42),F42-D42)))</f>
        <v/>
      </c>
      <c r="G43" s="51" t="str">
        <f aca="false">F43</f>
        <v/>
      </c>
      <c r="H43" s="51" t="str">
        <f aca="false">I43</f>
        <v/>
      </c>
      <c r="I43" s="51" t="str">
        <f aca="false">IF(B43="",IF(B42="","",IF(D42="","",F42-D42)),IF(AND(C42="",D42=""),"",IF(AND(D42="",C42&lt;&gt;""),IF(I42&gt;F42,I42-C42,F42-C42),B$28-B43-SUM(D$28:D42))))</f>
        <v/>
      </c>
      <c r="K43" s="0" t="str">
        <f aca="false">IF(F43&lt;I43,I43,F43)</f>
        <v/>
      </c>
      <c r="L43" s="51" t="e">
        <f aca="true">IF(TREND(OFFSET($K$27,TrendOffset+1,0,SprintsInTrend,1),OFFSET($A$27,TrendOffset+1,0,SprintsInTrend,1),A43)&lt;N43,N43,TREND(OFFSET($K$27,TrendOffset+1,0,SprintsInTrend,1),OFFSET($A$27,TrendOffset+1,0,SprintsInTrend,1),A43))</f>
        <v>#VALUE!</v>
      </c>
      <c r="M43" s="51" t="e">
        <f aca="false">IF(L43=L42,"",L43)</f>
        <v>#VALUE!</v>
      </c>
      <c r="N43" s="51" t="n">
        <f aca="true">OFFSET($I$27,TrendSprintCount,0,1,1)</f>
        <v>0</v>
      </c>
      <c r="O43" s="65" t="str">
        <f aca="false">D$9</f>
        <v/>
      </c>
      <c r="P43" s="65" t="str">
        <f aca="false">D$10</f>
        <v/>
      </c>
      <c r="Q43" s="65" t="str">
        <f aca="false">D$11</f>
        <v/>
      </c>
    </row>
    <row r="44" customFormat="false" ht="13.2" hidden="false" customHeight="false" outlineLevel="0" collapsed="false">
      <c r="A44" s="64" t="n">
        <v>17</v>
      </c>
      <c r="B44" s="1" t="str">
        <f aca="false">IF(OR(B43="",C43=""),"",IF(D43="",IF(B43-C43&lt;=0,"",B43-C43),IF(B43-D43&lt;=0,"",B43-D43)))</f>
        <v/>
      </c>
      <c r="C44" s="1"/>
      <c r="E44" s="64" t="str">
        <f aca="false">IF(B44="","",IF(D43="",E43,B44+SUM(D$28:D43)))</f>
        <v/>
      </c>
      <c r="F44" s="51" t="str">
        <f aca="false">IF(B44="",IF(B43="","",IF(D43="","",I43)),IF(AND(D43="",C43=""),"",IF(AND(D43="",C43&lt;&gt;""),IF(I43&gt;F43,F43,I43),F43-D43)))</f>
        <v/>
      </c>
      <c r="G44" s="51" t="str">
        <f aca="false">F44</f>
        <v/>
      </c>
      <c r="H44" s="51" t="str">
        <f aca="false">I44</f>
        <v/>
      </c>
      <c r="I44" s="51" t="str">
        <f aca="false">IF(B44="",IF(B43="","",IF(D43="","",F43-D43)),IF(AND(C43="",D43=""),"",IF(AND(D43="",C43&lt;&gt;""),IF(I43&gt;F43,I43-C43,F43-C43),B$28-B44-SUM(D$28:D43))))</f>
        <v/>
      </c>
      <c r="K44" s="0" t="str">
        <f aca="false">IF(F44&lt;I44,I44,F44)</f>
        <v/>
      </c>
      <c r="L44" s="51" t="e">
        <f aca="true">IF(TREND(OFFSET($K$27,TrendOffset+1,0,SprintsInTrend,1),OFFSET($A$27,TrendOffset+1,0,SprintsInTrend,1),A44)&lt;N44,N44,TREND(OFFSET($K$27,TrendOffset+1,0,SprintsInTrend,1),OFFSET($A$27,TrendOffset+1,0,SprintsInTrend,1),A44))</f>
        <v>#VALUE!</v>
      </c>
      <c r="M44" s="51" t="e">
        <f aca="false">IF(L44=L43,"",L44)</f>
        <v>#VALUE!</v>
      </c>
      <c r="N44" s="51" t="n">
        <f aca="true">OFFSET($I$27,TrendSprintCount,0,1,1)</f>
        <v>0</v>
      </c>
      <c r="O44" s="65" t="str">
        <f aca="false">D$9</f>
        <v/>
      </c>
      <c r="P44" s="65" t="str">
        <f aca="false">D$10</f>
        <v/>
      </c>
      <c r="Q44" s="65" t="str">
        <f aca="false">D$11</f>
        <v/>
      </c>
    </row>
    <row r="45" customFormat="false" ht="13.2" hidden="false" customHeight="false" outlineLevel="0" collapsed="false">
      <c r="A45" s="64" t="n">
        <v>18</v>
      </c>
      <c r="B45" s="1" t="str">
        <f aca="false">IF(OR(B44="",C44=""),"",IF(D44="",IF(B44-C44&lt;=0,"",B44-C44),IF(B44-D44&lt;=0,"",B44-D44)))</f>
        <v/>
      </c>
      <c r="C45" s="1"/>
      <c r="E45" s="64" t="str">
        <f aca="false">IF(B45="","",IF(D44="",E44,B45+SUM(D$28:D44)))</f>
        <v/>
      </c>
      <c r="F45" s="51" t="str">
        <f aca="false">IF(B45="",IF(B44="","",IF(D44="","",I44)),IF(AND(D44="",C44=""),"",IF(AND(D44="",C44&lt;&gt;""),IF(I44&gt;F44,F44,I44),F44-D44)))</f>
        <v/>
      </c>
      <c r="G45" s="51" t="str">
        <f aca="false">F45</f>
        <v/>
      </c>
      <c r="H45" s="51" t="str">
        <f aca="false">I45</f>
        <v/>
      </c>
      <c r="I45" s="51" t="str">
        <f aca="false">IF(B45="",IF(B44="","",IF(D44="","",F44-D44)),IF(AND(C44="",D44=""),"",IF(AND(D44="",C44&lt;&gt;""),IF(I44&gt;F44,I44-C44,F44-C44),B$28-B45-SUM(D$28:D44))))</f>
        <v/>
      </c>
      <c r="K45" s="0" t="str">
        <f aca="false">IF(F45&lt;I45,I45,F45)</f>
        <v/>
      </c>
      <c r="L45" s="51" t="e">
        <f aca="true">IF(TREND(OFFSET($K$27,TrendOffset+1,0,SprintsInTrend,1),OFFSET($A$27,TrendOffset+1,0,SprintsInTrend,1),A45)&lt;N45,N45,TREND(OFFSET($K$27,TrendOffset+1,0,SprintsInTrend,1),OFFSET($A$27,TrendOffset+1,0,SprintsInTrend,1),A45))</f>
        <v>#VALUE!</v>
      </c>
      <c r="M45" s="51" t="e">
        <f aca="false">IF(L45=L44,"",L45)</f>
        <v>#VALUE!</v>
      </c>
      <c r="N45" s="51" t="n">
        <f aca="true">OFFSET($I$27,TrendSprintCount,0,1,1)</f>
        <v>0</v>
      </c>
      <c r="O45" s="65" t="str">
        <f aca="false">D$9</f>
        <v/>
      </c>
      <c r="P45" s="65" t="str">
        <f aca="false">D$10</f>
        <v/>
      </c>
      <c r="Q45" s="65" t="str">
        <f aca="false">D$11</f>
        <v/>
      </c>
    </row>
    <row r="46" customFormat="false" ht="13.2" hidden="false" customHeight="false" outlineLevel="0" collapsed="false">
      <c r="A46" s="64" t="n">
        <v>19</v>
      </c>
      <c r="B46" s="1" t="str">
        <f aca="false">IF(OR(B45="",C45=""),"",IF(D45="",IF(B45-C45&lt;=0,"",B45-C45),IF(B45-D45&lt;=0,"",B45-D45)))</f>
        <v/>
      </c>
      <c r="C46" s="1"/>
      <c r="E46" s="64" t="str">
        <f aca="false">IF(B46="","",IF(D45="",E45,B46+SUM(D$28:D45)))</f>
        <v/>
      </c>
      <c r="F46" s="51" t="str">
        <f aca="false">IF(B46="",IF(B45="","",IF(D45="","",I45)),IF(AND(D45="",C45=""),"",IF(AND(D45="",C45&lt;&gt;""),IF(I45&gt;F45,F45,I45),F45-D45)))</f>
        <v/>
      </c>
      <c r="G46" s="51" t="str">
        <f aca="false">F46</f>
        <v/>
      </c>
      <c r="H46" s="51" t="str">
        <f aca="false">I46</f>
        <v/>
      </c>
      <c r="I46" s="51" t="str">
        <f aca="false">IF(B46="",IF(B45="","",IF(D45="","",F45-D45)),IF(AND(C45="",D45=""),"",IF(AND(D45="",C45&lt;&gt;""),IF(I45&gt;F45,I45-C45,F45-C45),B$28-B46-SUM(D$28:D45))))</f>
        <v/>
      </c>
      <c r="K46" s="0" t="str">
        <f aca="false">IF(F46&lt;I46,I46,F46)</f>
        <v/>
      </c>
      <c r="L46" s="51" t="e">
        <f aca="true">IF(TREND(OFFSET($K$27,TrendOffset+1,0,SprintsInTrend,1),OFFSET($A$27,TrendOffset+1,0,SprintsInTrend,1),A46)&lt;N46,N46,TREND(OFFSET($K$27,TrendOffset+1,0,SprintsInTrend,1),OFFSET($A$27,TrendOffset+1,0,SprintsInTrend,1),A46))</f>
        <v>#VALUE!</v>
      </c>
      <c r="M46" s="51" t="e">
        <f aca="false">IF(L46=L45,"",L46)</f>
        <v>#VALUE!</v>
      </c>
      <c r="N46" s="51" t="n">
        <f aca="true">OFFSET($I$27,TrendSprintCount,0,1,1)</f>
        <v>0</v>
      </c>
      <c r="O46" s="65" t="str">
        <f aca="false">D$9</f>
        <v/>
      </c>
      <c r="P46" s="65" t="str">
        <f aca="false">D$10</f>
        <v/>
      </c>
      <c r="Q46" s="65" t="str">
        <f aca="false">D$11</f>
        <v/>
      </c>
    </row>
    <row r="47" customFormat="false" ht="13.2" hidden="false" customHeight="false" outlineLevel="0" collapsed="false">
      <c r="A47" s="64" t="n">
        <v>20</v>
      </c>
      <c r="B47" s="1" t="str">
        <f aca="false">IF(OR(B46="",C46=""),"",IF(D46="",IF(B46-C46&lt;=0,"",B46-C46),IF(B46-D46&lt;=0,"",B46-D46)))</f>
        <v/>
      </c>
      <c r="C47" s="1"/>
      <c r="E47" s="64" t="str">
        <f aca="false">IF(B47="","",IF(D46="",E46,B47+SUM(D$28:D46)))</f>
        <v/>
      </c>
      <c r="F47" s="51" t="str">
        <f aca="false">IF(B47="",IF(B46="","",IF(D46="","",I46)),IF(AND(D46="",C46=""),"",IF(AND(D46="",C46&lt;&gt;""),IF(I46&gt;F46,F46,I46),F46-D46)))</f>
        <v/>
      </c>
      <c r="G47" s="51" t="str">
        <f aca="false">F47</f>
        <v/>
      </c>
      <c r="H47" s="51" t="str">
        <f aca="false">I47</f>
        <v/>
      </c>
      <c r="I47" s="51" t="str">
        <f aca="false">IF(B47="",IF(B46="","",IF(D46="","",F46-D46)),IF(AND(C46="",D46=""),"",IF(AND(D46="",C46&lt;&gt;""),IF(I46&gt;F46,I46-C46,F46-C46),B$28-B47-SUM(D$28:D46))))</f>
        <v/>
      </c>
      <c r="K47" s="0" t="str">
        <f aca="false">IF(F47&lt;I47,I47,F47)</f>
        <v/>
      </c>
      <c r="L47" s="51" t="e">
        <f aca="true">IF(TREND(OFFSET($K$27,TrendOffset+1,0,SprintsInTrend,1),OFFSET($A$27,TrendOffset+1,0,SprintsInTrend,1),A47)&lt;N47,N47,TREND(OFFSET($K$27,TrendOffset+1,0,SprintsInTrend,1),OFFSET($A$27,TrendOffset+1,0,SprintsInTrend,1),A47))</f>
        <v>#VALUE!</v>
      </c>
      <c r="M47" s="51" t="e">
        <f aca="false">IF(L47=L46,"",L47)</f>
        <v>#VALUE!</v>
      </c>
      <c r="N47" s="51" t="n">
        <f aca="true">OFFSET($I$27,TrendSprintCount,0,1,1)</f>
        <v>0</v>
      </c>
      <c r="O47" s="65" t="str">
        <f aca="false">D$9</f>
        <v/>
      </c>
      <c r="P47" s="65" t="str">
        <f aca="false">D$10</f>
        <v/>
      </c>
      <c r="Q47" s="65" t="str">
        <f aca="false">D$11</f>
        <v/>
      </c>
    </row>
    <row r="48" customFormat="false" ht="13.2" hidden="false" customHeight="false" outlineLevel="0" collapsed="false">
      <c r="A48" s="64" t="n">
        <v>21</v>
      </c>
      <c r="B48" s="1" t="str">
        <f aca="false">IF(OR(B47="",C47=""),"",IF(D47="",IF(B47-C47&lt;=0,"",B47-C47),IF(B47-D47&lt;=0,"",B47-D47)))</f>
        <v/>
      </c>
      <c r="C48" s="1"/>
      <c r="E48" s="64" t="str">
        <f aca="false">IF(B48="","",IF(D47="",E47,B48+SUM(D$28:D47)))</f>
        <v/>
      </c>
      <c r="F48" s="51" t="str">
        <f aca="false">IF(B48="",IF(B47="","",IF(D47="","",I47)),IF(AND(D47="",C47=""),"",IF(AND(D47="",C47&lt;&gt;""),IF(I47&gt;F47,F47,I47),F47-D47)))</f>
        <v/>
      </c>
      <c r="G48" s="51" t="str">
        <f aca="false">F48</f>
        <v/>
      </c>
      <c r="H48" s="51" t="str">
        <f aca="false">I48</f>
        <v/>
      </c>
      <c r="I48" s="51" t="str">
        <f aca="false">IF(B48="",IF(B47="","",IF(D47="","",F47-D47)),IF(AND(C47="",D47=""),"",IF(AND(D47="",C47&lt;&gt;""),IF(I47&gt;F47,I47-C47,F47-C47),B$28-B48-SUM(D$28:D47))))</f>
        <v/>
      </c>
      <c r="K48" s="0" t="str">
        <f aca="false">IF(F48&lt;I48,I48,F48)</f>
        <v/>
      </c>
      <c r="L48" s="51" t="e">
        <f aca="true">IF(TREND(OFFSET($K$27,TrendOffset+1,0,SprintsInTrend,1),OFFSET($A$27,TrendOffset+1,0,SprintsInTrend,1),A48)&lt;N48,N48,TREND(OFFSET($K$27,TrendOffset+1,0,SprintsInTrend,1),OFFSET($A$27,TrendOffset+1,0,SprintsInTrend,1),A48))</f>
        <v>#VALUE!</v>
      </c>
      <c r="M48" s="51" t="e">
        <f aca="false">IF(L48=L47,"",L48)</f>
        <v>#VALUE!</v>
      </c>
      <c r="N48" s="51" t="n">
        <f aca="true">OFFSET($I$27,TrendSprintCount,0,1,1)</f>
        <v>0</v>
      </c>
      <c r="O48" s="65" t="str">
        <f aca="false">D$9</f>
        <v/>
      </c>
      <c r="P48" s="65" t="str">
        <f aca="false">D$10</f>
        <v/>
      </c>
      <c r="Q48" s="65" t="str">
        <f aca="false">D$11</f>
        <v/>
      </c>
    </row>
    <row r="49" customFormat="false" ht="13.2" hidden="false" customHeight="false" outlineLevel="0" collapsed="false">
      <c r="A49" s="64" t="n">
        <v>22</v>
      </c>
      <c r="B49" s="1" t="str">
        <f aca="false">IF(OR(B48="",C48=""),"",IF(D48="",IF(B48-C48&lt;=0,"",B48-C48),IF(B48-D48&lt;=0,"",B48-D48)))</f>
        <v/>
      </c>
      <c r="C49" s="1"/>
      <c r="E49" s="64" t="str">
        <f aca="false">IF(B49="","",IF(D48="",E48,B49+SUM(D$28:D48)))</f>
        <v/>
      </c>
      <c r="F49" s="51" t="str">
        <f aca="false">IF(B49="",IF(B48="","",IF(D48="","",I48)),IF(AND(D48="",C48=""),"",IF(AND(D48="",C48&lt;&gt;""),IF(I48&gt;F48,F48,I48),F48-D48)))</f>
        <v/>
      </c>
      <c r="G49" s="51" t="str">
        <f aca="false">F49</f>
        <v/>
      </c>
      <c r="H49" s="51" t="str">
        <f aca="false">I49</f>
        <v/>
      </c>
      <c r="I49" s="51" t="str">
        <f aca="false">IF(B49="",IF(B48="","",IF(D48="","",F48-D48)),IF(AND(C48="",D48=""),"",IF(AND(D48="",C48&lt;&gt;""),IF(I48&gt;F48,I48-C48,F48-C48),B$28-B49-SUM(D$28:D48))))</f>
        <v/>
      </c>
      <c r="K49" s="0" t="str">
        <f aca="false">IF(F49&lt;I49,I49,F49)</f>
        <v/>
      </c>
      <c r="L49" s="51" t="e">
        <f aca="true">IF(TREND(OFFSET($K$27,TrendOffset+1,0,SprintsInTrend,1),OFFSET($A$27,TrendOffset+1,0,SprintsInTrend,1),A49)&lt;N49,N49,TREND(OFFSET($K$27,TrendOffset+1,0,SprintsInTrend,1),OFFSET($A$27,TrendOffset+1,0,SprintsInTrend,1),A49))</f>
        <v>#VALUE!</v>
      </c>
      <c r="M49" s="51" t="e">
        <f aca="false">IF(L49=L48,"",L49)</f>
        <v>#VALUE!</v>
      </c>
      <c r="N49" s="51" t="n">
        <f aca="true">OFFSET($I$27,TrendSprintCount,0,1,1)</f>
        <v>0</v>
      </c>
      <c r="O49" s="65" t="str">
        <f aca="false">D$9</f>
        <v/>
      </c>
      <c r="P49" s="65" t="str">
        <f aca="false">D$10</f>
        <v/>
      </c>
      <c r="Q49" s="65" t="str">
        <f aca="false">D$11</f>
        <v/>
      </c>
    </row>
    <row r="50" customFormat="false" ht="13.2" hidden="false" customHeight="false" outlineLevel="0" collapsed="false">
      <c r="A50" s="64" t="n">
        <v>23</v>
      </c>
      <c r="B50" s="1" t="str">
        <f aca="false">IF(OR(B49="",C49=""),"",IF(D49="",IF(B49-C49&lt;=0,"",B49-C49),IF(B49-D49&lt;=0,"",B49-D49)))</f>
        <v/>
      </c>
      <c r="C50" s="1"/>
      <c r="E50" s="64" t="str">
        <f aca="false">IF(B50="","",IF(D49="",E49,B50+SUM(D$28:D49)))</f>
        <v/>
      </c>
      <c r="F50" s="51" t="str">
        <f aca="false">IF(B50="",IF(B49="","",IF(D49="","",I49)),IF(AND(D49="",C49=""),"",IF(AND(D49="",C49&lt;&gt;""),IF(I49&gt;F49,F49,I49),F49-D49)))</f>
        <v/>
      </c>
      <c r="G50" s="51" t="str">
        <f aca="false">F50</f>
        <v/>
      </c>
      <c r="H50" s="51" t="str">
        <f aca="false">I50</f>
        <v/>
      </c>
      <c r="I50" s="51" t="str">
        <f aca="false">IF(B50="",IF(B49="","",IF(D49="","",F49-D49)),IF(AND(C49="",D49=""),"",IF(AND(D49="",C49&lt;&gt;""),IF(I49&gt;F49,I49-C49,F49-C49),B$28-B50-SUM(D$28:D49))))</f>
        <v/>
      </c>
      <c r="K50" s="0" t="str">
        <f aca="false">IF(F50&lt;I50,I50,F50)</f>
        <v/>
      </c>
      <c r="L50" s="51" t="e">
        <f aca="true">IF(TREND(OFFSET($K$27,TrendOffset+1,0,SprintsInTrend,1),OFFSET($A$27,TrendOffset+1,0,SprintsInTrend,1),A50)&lt;N50,N50,TREND(OFFSET($K$27,TrendOffset+1,0,SprintsInTrend,1),OFFSET($A$27,TrendOffset+1,0,SprintsInTrend,1),A50))</f>
        <v>#VALUE!</v>
      </c>
      <c r="M50" s="51" t="e">
        <f aca="false">IF(L50=L49,"",L50)</f>
        <v>#VALUE!</v>
      </c>
      <c r="N50" s="51" t="n">
        <f aca="true">OFFSET($I$27,TrendSprintCount,0,1,1)</f>
        <v>0</v>
      </c>
      <c r="O50" s="65" t="str">
        <f aca="false">D$9</f>
        <v/>
      </c>
      <c r="P50" s="65" t="str">
        <f aca="false">D$10</f>
        <v/>
      </c>
      <c r="Q50" s="65" t="str">
        <f aca="false">D$11</f>
        <v/>
      </c>
    </row>
    <row r="51" customFormat="false" ht="13.2" hidden="false" customHeight="false" outlineLevel="0" collapsed="false">
      <c r="A51" s="64" t="n">
        <v>24</v>
      </c>
      <c r="B51" s="1" t="str">
        <f aca="false">IF(OR(B50="",C50=""),"",IF(D50="",IF(B50-C50&lt;=0,"",B50-C50),IF(B50-D50&lt;=0,"",B50-D50)))</f>
        <v/>
      </c>
      <c r="C51" s="1"/>
      <c r="E51" s="64" t="str">
        <f aca="false">IF(B51="","",IF(D50="",E50,B51+SUM(D$28:D50)))</f>
        <v/>
      </c>
      <c r="F51" s="51" t="str">
        <f aca="false">IF(B51="",IF(B50="","",IF(D50="","",I50)),IF(AND(D50="",C50=""),"",IF(AND(D50="",C50&lt;&gt;""),IF(I50&gt;F50,F50,I50),F50-D50)))</f>
        <v/>
      </c>
      <c r="G51" s="51" t="str">
        <f aca="false">F51</f>
        <v/>
      </c>
      <c r="H51" s="51" t="str">
        <f aca="false">I51</f>
        <v/>
      </c>
      <c r="I51" s="51" t="str">
        <f aca="false">IF(B51="",IF(B50="","",IF(D50="","",F50-D50)),IF(AND(C50="",D50=""),"",IF(AND(D50="",C50&lt;&gt;""),IF(I50&gt;F50,I50-C50,F50-C50),B$28-B51-SUM(D$28:D50))))</f>
        <v/>
      </c>
      <c r="K51" s="0" t="str">
        <f aca="false">IF(F51&lt;I51,I51,F51)</f>
        <v/>
      </c>
      <c r="L51" s="51" t="e">
        <f aca="true">IF(TREND(OFFSET($K$27,TrendOffset+1,0,SprintsInTrend,1),OFFSET($A$27,TrendOffset+1,0,SprintsInTrend,1),A51)&lt;N51,N51,TREND(OFFSET($K$27,TrendOffset+1,0,SprintsInTrend,1),OFFSET($A$27,TrendOffset+1,0,SprintsInTrend,1),A51))</f>
        <v>#VALUE!</v>
      </c>
      <c r="M51" s="51" t="e">
        <f aca="false">IF(L51=L50,"",L51)</f>
        <v>#VALUE!</v>
      </c>
      <c r="N51" s="51" t="n">
        <f aca="true">OFFSET($I$27,TrendSprintCount,0,1,1)</f>
        <v>0</v>
      </c>
      <c r="O51" s="65" t="str">
        <f aca="false">D$9</f>
        <v/>
      </c>
      <c r="P51" s="65" t="str">
        <f aca="false">D$10</f>
        <v/>
      </c>
      <c r="Q51" s="65" t="str">
        <f aca="false">D$11</f>
        <v/>
      </c>
    </row>
  </sheetData>
  <mergeCells count="5">
    <mergeCell ref="A8:B8"/>
    <mergeCell ref="A18:B18"/>
    <mergeCell ref="F26:N26"/>
    <mergeCell ref="O26:Q26"/>
    <mergeCell ref="G27:H27"/>
  </mergeCells>
  <conditionalFormatting sqref="K27:N27 A27:G27 F26 I27 O26:O27 P27:Q27">
    <cfRule type="expression" priority="2" aboveAverage="0" equalAverage="0" bottom="0" percent="0" rank="0" text="" dxfId="0">
      <formula>$D25="Done"</formula>
    </cfRule>
    <cfRule type="expression" priority="3" aboveAverage="0" equalAverage="0" bottom="0" percent="0" rank="0" text="" dxfId="1">
      <formula>$D25="Ongoing"</formula>
    </cfRule>
    <cfRule type="expression" priority="4" aboveAverage="0" equalAverage="0" bottom="0" percent="0" rank="0" text="" dxfId="2">
      <formula>$D25="Removed"</formula>
    </cfRule>
  </conditionalFormatting>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4.xml><?xml version="1.0" encoding="utf-8"?>
<worksheet xmlns="http://schemas.openxmlformats.org/spreadsheetml/2006/main" xmlns:r="http://schemas.openxmlformats.org/officeDocument/2006/relationships">
  <sheetPr filterMode="false">
    <pageSetUpPr fitToPage="false"/>
  </sheetPr>
  <dimension ref="A1:AD64"/>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pane xSplit="0" ySplit="14" topLeftCell="A15" activePane="bottomLeft" state="frozen"/>
      <selection pane="topLeft" activeCell="A1" activeCellId="0" sqref="A1"/>
      <selection pane="bottomLeft" activeCell="N36" activeCellId="0" sqref="N36"/>
    </sheetView>
  </sheetViews>
  <sheetFormatPr defaultRowHeight="13.2" zeroHeight="false" outlineLevelRow="0" outlineLevelCol="0"/>
  <cols>
    <col collapsed="false" customWidth="true" hidden="false" outlineLevel="0" max="1" min="1" style="43" width="43.44"/>
    <col collapsed="false" customWidth="true" hidden="false" outlineLevel="0" max="2" min="2" style="41" width="8.44"/>
    <col collapsed="false" customWidth="true" hidden="false" outlineLevel="0" max="3" min="3" style="43" width="15.34"/>
    <col collapsed="false" customWidth="true" hidden="false" outlineLevel="0" max="4" min="4" style="43" width="10.77"/>
    <col collapsed="false" customWidth="true" hidden="false" outlineLevel="0" max="5" min="5" style="41" width="6.44"/>
    <col collapsed="false" customWidth="true" hidden="false" outlineLevel="0" max="30" min="6" style="41" width="4.44"/>
    <col collapsed="false" customWidth="true" hidden="false" outlineLevel="0" max="1025" min="31" style="43" width="9.11"/>
  </cols>
  <sheetData>
    <row r="1" s="43" customFormat="true" ht="17.4" hidden="false" customHeight="false" outlineLevel="0" collapsed="false">
      <c r="A1" s="66" t="n">
        <v>1</v>
      </c>
      <c r="B1" s="67"/>
    </row>
    <row r="2" s="43" customFormat="true" ht="13.2" hidden="false" customHeight="false" outlineLevel="0" collapsed="false">
      <c r="B2" s="41"/>
    </row>
    <row r="9" customFormat="false" ht="13.2" hidden="false" customHeight="false" outlineLevel="0" collapsed="false">
      <c r="A9" s="68" t="s">
        <v>110</v>
      </c>
      <c r="B9" s="41" t="n">
        <v>14</v>
      </c>
      <c r="C9" s="68"/>
      <c r="D9" s="69"/>
      <c r="E9" s="68" t="s">
        <v>111</v>
      </c>
      <c r="F9" s="68" t="s">
        <v>112</v>
      </c>
      <c r="G9" s="68"/>
      <c r="H9" s="68"/>
      <c r="I9" s="68"/>
      <c r="J9" s="68"/>
      <c r="K9" s="68"/>
      <c r="L9" s="68"/>
      <c r="M9" s="69"/>
      <c r="N9" s="69"/>
      <c r="O9" s="69"/>
      <c r="P9" s="69"/>
      <c r="Q9" s="69"/>
      <c r="R9" s="69"/>
      <c r="S9" s="69"/>
      <c r="T9" s="69"/>
      <c r="U9" s="69"/>
      <c r="V9" s="69"/>
      <c r="W9" s="69"/>
      <c r="X9" s="69"/>
      <c r="Y9" s="69"/>
      <c r="Z9" s="69"/>
      <c r="AA9" s="69"/>
      <c r="AB9" s="69"/>
      <c r="AC9" s="69"/>
      <c r="AD9" s="69"/>
    </row>
    <row r="10" customFormat="false" ht="13.2" hidden="false" customHeight="false" outlineLevel="0" collapsed="false">
      <c r="A10" s="68" t="s">
        <v>113</v>
      </c>
      <c r="B10" s="41" t="n">
        <v>14</v>
      </c>
      <c r="C10" s="68" t="s">
        <v>3</v>
      </c>
      <c r="D10" s="68" t="s">
        <v>114</v>
      </c>
      <c r="E10" s="70" t="n">
        <f aca="true">SUM(OFFSET(E14,1,0,TaskRows,1))</f>
        <v>40</v>
      </c>
      <c r="F10" s="70" t="n">
        <f aca="true">IF(AND(SUM(OFFSET(F14,1,0,TaskRows,1))=0),0,SUM(OFFSET(F14,1,0,TaskRows,1)))</f>
        <v>37</v>
      </c>
      <c r="G10" s="70" t="n">
        <f aca="true">IF(AND(SUM(OFFSET(G14,1,0,TaskRows,1))=0),"",SUM(OFFSET(G14,1,0,TaskRows,1)))</f>
        <v>34</v>
      </c>
      <c r="H10" s="70" t="n">
        <f aca="true">IF(AND(SUM(OFFSET(H14,1,0,TaskRows,1))=0),"",SUM(OFFSET(H14,1,0,TaskRows,1)))</f>
        <v>31</v>
      </c>
      <c r="I10" s="70" t="n">
        <f aca="true">IF(AND(SUM(OFFSET(I14,1,0,TaskRows,1))=0),"",SUM(OFFSET(I14,1,0,TaskRows,1)))</f>
        <v>26</v>
      </c>
      <c r="J10" s="70" t="n">
        <f aca="true">IF(AND(SUM(OFFSET(J14,1,0,TaskRows,1))=0),"",SUM(OFFSET(J14,1,0,TaskRows,1)))</f>
        <v>25</v>
      </c>
      <c r="K10" s="70" t="n">
        <f aca="true">IF(AND(SUM(OFFSET(K14,1,0,TaskRows,1))=0),"",SUM(OFFSET(K14,1,0,TaskRows,1)))</f>
        <v>23</v>
      </c>
      <c r="L10" s="70" t="n">
        <f aca="true">IF(AND(SUM(OFFSET(L14,1,0,TaskRows,1))=0),"",SUM(OFFSET(L14,1,0,TaskRows,1)))</f>
        <v>20</v>
      </c>
      <c r="M10" s="70" t="n">
        <f aca="true">IF(AND(SUM(OFFSET(M14,1,0,TaskRows,1))=0),"",SUM(OFFSET(M14,1,0,TaskRows,1)))</f>
        <v>17</v>
      </c>
      <c r="N10" s="70" t="n">
        <f aca="true">IF(AND(SUM(OFFSET(N14,1,0,TaskRows,1))=0),"",SUM(OFFSET(N14,1,0,TaskRows,1)))</f>
        <v>14</v>
      </c>
      <c r="O10" s="70" t="n">
        <f aca="true">IF(AND(SUM(OFFSET(O14,1,0,TaskRows,1))=0),"",SUM(OFFSET(O14,1,0,TaskRows,1)))</f>
        <v>12</v>
      </c>
      <c r="P10" s="70" t="n">
        <f aca="true">IF(AND(SUM(OFFSET(P14,1,0,TaskRows,1))=0),"",SUM(OFFSET(P14,1,0,TaskRows,1)))</f>
        <v>11</v>
      </c>
      <c r="Q10" s="70" t="n">
        <f aca="true">IF(AND(SUM(OFFSET(Q14,1,0,TaskRows,1))=0),"",SUM(OFFSET(Q14,1,0,TaskRows,1)))</f>
        <v>7</v>
      </c>
      <c r="R10" s="70" t="n">
        <f aca="true">IF(AND(SUM(OFFSET(R14,1,0,TaskRows,1))=0),"",SUM(OFFSET(R14,1,0,TaskRows,1)))</f>
        <v>5</v>
      </c>
      <c r="S10" s="70" t="str">
        <f aca="true">IF(AND(SUM(OFFSET(S14,1,0,TaskRows,1))=0),"",SUM(OFFSET(S14,1,0,TaskRows,1)))</f>
        <v/>
      </c>
      <c r="T10" s="70" t="str">
        <f aca="true">IF(AND(SUM(OFFSET(T14,1,0,TaskRows,1))=0),"",SUM(OFFSET(T14,1,0,TaskRows,1)))</f>
        <v/>
      </c>
      <c r="U10" s="70" t="str">
        <f aca="true">IF(AND(SUM(OFFSET(U14,1,0,TaskRows,1))=0),"",SUM(OFFSET(U14,1,0,TaskRows,1)))</f>
        <v/>
      </c>
      <c r="V10" s="70" t="str">
        <f aca="true">IF(AND(SUM(OFFSET(V14,1,0,TaskRows,1))=0),"",SUM(OFFSET(V14,1,0,TaskRows,1)))</f>
        <v/>
      </c>
      <c r="W10" s="70" t="str">
        <f aca="true">IF(AND(SUM(OFFSET(W14,1,0,TaskRows,1))=0),"",SUM(OFFSET(W14,1,0,TaskRows,1)))</f>
        <v/>
      </c>
      <c r="X10" s="70" t="str">
        <f aca="true">IF(AND(SUM(OFFSET(X14,1,0,TaskRows,1))=0),"",SUM(OFFSET(X14,1,0,TaskRows,1)))</f>
        <v/>
      </c>
      <c r="Y10" s="70" t="str">
        <f aca="true">IF(AND(SUM(OFFSET(Y14,1,0,TaskRows,1))=0),"",SUM(OFFSET(Y14,1,0,TaskRows,1)))</f>
        <v/>
      </c>
      <c r="Z10" s="70" t="str">
        <f aca="true">IF(AND(SUM(OFFSET(Z14,1,0,TaskRows,1))=0),"",SUM(OFFSET(Z14,1,0,TaskRows,1)))</f>
        <v/>
      </c>
      <c r="AA10" s="70" t="str">
        <f aca="true">IF(AND(SUM(OFFSET(AA14,1,0,TaskRows,1))=0),"",SUM(OFFSET(AA14,1,0,TaskRows,1)))</f>
        <v/>
      </c>
      <c r="AB10" s="70" t="str">
        <f aca="true">IF(AND(SUM(OFFSET(AB14,1,0,TaskRows,1))=0),"",SUM(OFFSET(AB14,1,0,TaskRows,1)))</f>
        <v/>
      </c>
      <c r="AC10" s="70" t="str">
        <f aca="true">IF(AND(SUM(OFFSET(AC14,1,0,TaskRows,1))=0),"",SUM(OFFSET(AC14,1,0,TaskRows,1)))</f>
        <v/>
      </c>
      <c r="AD10" s="70" t="str">
        <f aca="true">IF(AND(SUM(OFFSET(AD14,1,0,TaskRows,1))=0),"",SUM(OFFSET(AD14,1,0,TaskRows,1)))</f>
        <v/>
      </c>
    </row>
    <row r="11" customFormat="false" ht="13.2" hidden="true" customHeight="false" outlineLevel="0" collapsed="false">
      <c r="A11" s="43" t="s">
        <v>115</v>
      </c>
      <c r="B11" s="1" t="n">
        <f aca="false">IF(COUNTA(A15:A242)=0,1,COUNTA(A15:A242))</f>
        <v>6</v>
      </c>
      <c r="C11" s="43" t="s">
        <v>116</v>
      </c>
      <c r="D11" s="1" t="n">
        <f aca="false">IF(COUNTIF(F10:AD10,"&gt;0")=0,1,COUNTIF(F10:AD10,"&gt;0"))</f>
        <v>13</v>
      </c>
      <c r="E11" s="1"/>
      <c r="F11" s="1" t="n">
        <f aca="false">IF(F14="","",$E10-$E10/($B9-1)*(F14-1))</f>
        <v>40</v>
      </c>
      <c r="G11" s="1" t="n">
        <f aca="false">IF(G14="","",TotalEffort-TotalEffort/(ImplementationDays)*(G14-1))</f>
        <v>37.1428571428571</v>
      </c>
      <c r="H11" s="1" t="n">
        <f aca="false">IF(H14="","",TotalEffort-TotalEffort/(ImplementationDays)*(H14-1))</f>
        <v>34.2857142857143</v>
      </c>
      <c r="I11" s="1" t="n">
        <f aca="false">IF(I14="","",TotalEffort-TotalEffort/(ImplementationDays)*(I14-1))</f>
        <v>31.4285714285714</v>
      </c>
      <c r="J11" s="1" t="n">
        <f aca="false">IF(J14="","",TotalEffort-TotalEffort/(ImplementationDays)*(J14-1))</f>
        <v>28.5714285714286</v>
      </c>
      <c r="K11" s="1" t="n">
        <f aca="false">IF(K14="","",TotalEffort-TotalEffort/(ImplementationDays)*(K14-1))</f>
        <v>25.7142857142857</v>
      </c>
      <c r="L11" s="1" t="n">
        <f aca="false">IF(L14="","",TotalEffort-TotalEffort/(ImplementationDays)*(L14-1))</f>
        <v>22.8571428571429</v>
      </c>
      <c r="M11" s="1" t="n">
        <f aca="false">IF(M14="","",TotalEffort-TotalEffort/(ImplementationDays)*(M14-1))</f>
        <v>20</v>
      </c>
      <c r="N11" s="1" t="n">
        <f aca="false">IF(N14="","",TotalEffort-TotalEffort/(ImplementationDays)*(N14-1))</f>
        <v>17.1428571428571</v>
      </c>
      <c r="O11" s="1" t="n">
        <f aca="false">IF(O14="","",TotalEffort-TotalEffort/(ImplementationDays)*(O14-1))</f>
        <v>14.2857142857143</v>
      </c>
      <c r="P11" s="1" t="n">
        <f aca="false">IF(P14="","",TotalEffort-TotalEffort/(ImplementationDays)*(P14-1))</f>
        <v>11.4285714285714</v>
      </c>
      <c r="Q11" s="1" t="n">
        <f aca="false">IF(Q14="","",TotalEffort-TotalEffort/(ImplementationDays)*(Q14-1))</f>
        <v>8.57142857142857</v>
      </c>
      <c r="R11" s="1" t="n">
        <f aca="false">IF(R14="","",TotalEffort-TotalEffort/(ImplementationDays)*(R14-1))</f>
        <v>5.71428571428572</v>
      </c>
      <c r="S11" s="1" t="n">
        <f aca="false">IF(S14="","",TotalEffort-TotalEffort/(ImplementationDays)*(S14-1))</f>
        <v>2.85714285714285</v>
      </c>
      <c r="T11" s="1" t="str">
        <f aca="false">IF(T14="","",TotalEffort-TotalEffort/(ImplementationDays)*(T14-1))</f>
        <v/>
      </c>
      <c r="U11" s="1" t="str">
        <f aca="false">IF(U14="","",TotalEffort-TotalEffort/(ImplementationDays)*(U14-1))</f>
        <v/>
      </c>
      <c r="V11" s="1" t="str">
        <f aca="false">IF(V14="","",TotalEffort-TotalEffort/(ImplementationDays)*(V14-1))</f>
        <v/>
      </c>
      <c r="W11" s="1" t="str">
        <f aca="false">IF(W14="","",TotalEffort-TotalEffort/(ImplementationDays)*(W14-1))</f>
        <v/>
      </c>
      <c r="X11" s="1" t="str">
        <f aca="false">IF(X14="","",TotalEffort-TotalEffort/(ImplementationDays)*(X14-1))</f>
        <v/>
      </c>
      <c r="Y11" s="1" t="str">
        <f aca="false">IF(Y14="","",TotalEffort-TotalEffort/(ImplementationDays)*(Y14-1))</f>
        <v/>
      </c>
      <c r="Z11" s="1" t="str">
        <f aca="false">IF(Z14="","",TotalEffort-TotalEffort/(ImplementationDays)*(Z14-1))</f>
        <v/>
      </c>
      <c r="AA11" s="1" t="str">
        <f aca="false">IF(AA14="","",TotalEffort-TotalEffort/(ImplementationDays)*(AA14-1))</f>
        <v/>
      </c>
      <c r="AB11" s="1" t="str">
        <f aca="false">IF(AB14="","",TotalEffort-TotalEffort/(ImplementationDays)*(AB14-1))</f>
        <v/>
      </c>
      <c r="AC11" s="1" t="str">
        <f aca="false">IF(AC14="","",TotalEffort-TotalEffort/(ImplementationDays)*(AC14-1))</f>
        <v/>
      </c>
      <c r="AD11" s="1" t="str">
        <f aca="false">IF(AD14="","",TotalEffort-TotalEffort/(ImplementationDays)*(AD14-1))</f>
        <v/>
      </c>
    </row>
    <row r="12" customFormat="false" ht="13.2" hidden="true" customHeight="false" outlineLevel="0" collapsed="false">
      <c r="A12" s="54" t="s">
        <v>117</v>
      </c>
      <c r="C12" s="43" t="s">
        <v>81</v>
      </c>
      <c r="D12" s="1"/>
      <c r="E12" s="1"/>
      <c r="F12" s="1" t="n">
        <f aca="true">IF(TREND(OFFSET($F10,0,DoneDays-TrendDays,1,TrendDays),OFFSET($F13,0,DoneDays-TrendDays,1,TrendDays),F13)&lt;0,"",TREND(OFFSET($F10,0,DoneDays-TrendDays,1,TrendDays),OFFSET($F13,0,DoneDays-TrendDays,1,TrendDays),F13))</f>
        <v>35.8791208791209</v>
      </c>
      <c r="G12" s="1" t="n">
        <f aca="true">IF(TREND(OFFSET($F10,0,DoneDays-TrendDays,1,TrendDays),OFFSET($F13,0,DoneDays-TrendDays,1,TrendDays),G13)&lt;0,"",TREND(OFFSET($F10,0,DoneDays-TrendDays,1,TrendDays),OFFSET($F13,0,DoneDays-TrendDays,1,TrendDays),G13))</f>
        <v>33.2582417582418</v>
      </c>
      <c r="H12" s="1" t="n">
        <f aca="true">IF(TREND(OFFSET($F10,0,DoneDays-TrendDays,1,TrendDays),OFFSET($F13,0,DoneDays-TrendDays,1,TrendDays),H13)&lt;0,"",TREND(OFFSET($F10,0,DoneDays-TrendDays,1,TrendDays),OFFSET($F13,0,DoneDays-TrendDays,1,TrendDays),H13))</f>
        <v>30.6373626373626</v>
      </c>
      <c r="I12" s="1" t="n">
        <f aca="true">IF(TREND(OFFSET($F10,0,DoneDays-TrendDays,1,TrendDays),OFFSET($F13,0,DoneDays-TrendDays,1,TrendDays),I13)&lt;0,"",TREND(OFFSET($F10,0,DoneDays-TrendDays,1,TrendDays),OFFSET($F13,0,DoneDays-TrendDays,1,TrendDays),I13))</f>
        <v>28.0164835164835</v>
      </c>
      <c r="J12" s="1" t="n">
        <f aca="true">IF(TREND(OFFSET($F10,0,DoneDays-TrendDays,1,TrendDays),OFFSET($F13,0,DoneDays-TrendDays,1,TrendDays),J13)&lt;0,"",TREND(OFFSET($F10,0,DoneDays-TrendDays,1,TrendDays),OFFSET($F13,0,DoneDays-TrendDays,1,TrendDays),J13))</f>
        <v>25.3956043956044</v>
      </c>
      <c r="K12" s="1" t="n">
        <f aca="true">IF(TREND(OFFSET($F10,0,DoneDays-TrendDays,1,TrendDays),OFFSET($F13,0,DoneDays-TrendDays,1,TrendDays),K13)&lt;0,"",TREND(OFFSET($F10,0,DoneDays-TrendDays,1,TrendDays),OFFSET($F13,0,DoneDays-TrendDays,1,TrendDays),K13))</f>
        <v>22.7747252747253</v>
      </c>
      <c r="L12" s="1" t="n">
        <f aca="true">IF(TREND(OFFSET($F10,0,DoneDays-TrendDays,1,TrendDays),OFFSET($F13,0,DoneDays-TrendDays,1,TrendDays),L13)&lt;0,"",TREND(OFFSET($F10,0,DoneDays-TrendDays,1,TrendDays),OFFSET($F13,0,DoneDays-TrendDays,1,TrendDays),L13))</f>
        <v>20.1538461538461</v>
      </c>
      <c r="M12" s="1" t="n">
        <f aca="true">IF(TREND(OFFSET($F10,0,DoneDays-TrendDays,1,TrendDays),OFFSET($F13,0,DoneDays-TrendDays,1,TrendDays),M13)&lt;0,"",TREND(OFFSET($F10,0,DoneDays-TrendDays,1,TrendDays),OFFSET($F13,0,DoneDays-TrendDays,1,TrendDays),M13))</f>
        <v>17.532967032967</v>
      </c>
      <c r="N12" s="1" t="n">
        <f aca="true">IF(TREND(OFFSET($F10,0,DoneDays-TrendDays,1,TrendDays),OFFSET($F13,0,DoneDays-TrendDays,1,TrendDays),N13)&lt;0,"",TREND(OFFSET($F10,0,DoneDays-TrendDays,1,TrendDays),OFFSET($F13,0,DoneDays-TrendDays,1,TrendDays),N13))</f>
        <v>14.9120879120879</v>
      </c>
      <c r="O12" s="1" t="n">
        <f aca="true">IF(TREND(OFFSET($F10,0,DoneDays-TrendDays,1,TrendDays),OFFSET($F13,0,DoneDays-TrendDays,1,TrendDays),O13)&lt;0,"",TREND(OFFSET($F10,0,DoneDays-TrendDays,1,TrendDays),OFFSET($F13,0,DoneDays-TrendDays,1,TrendDays),O13))</f>
        <v>12.2912087912088</v>
      </c>
      <c r="P12" s="1" t="n">
        <f aca="true">IF(TREND(OFFSET($F10,0,DoneDays-TrendDays,1,TrendDays),OFFSET($F13,0,DoneDays-TrendDays,1,TrendDays),P13)&lt;0,"",TREND(OFFSET($F10,0,DoneDays-TrendDays,1,TrendDays),OFFSET($F13,0,DoneDays-TrendDays,1,TrendDays),P13))</f>
        <v>9.67032967032966</v>
      </c>
      <c r="Q12" s="1" t="n">
        <f aca="true">IF(TREND(OFFSET($F10,0,DoneDays-TrendDays,1,TrendDays),OFFSET($F13,0,DoneDays-TrendDays,1,TrendDays),Q13)&lt;0,"",TREND(OFFSET($F10,0,DoneDays-TrendDays,1,TrendDays),OFFSET($F13,0,DoneDays-TrendDays,1,TrendDays),Q13))</f>
        <v>7.04945054945054</v>
      </c>
      <c r="R12" s="1" t="n">
        <f aca="true">IF(TREND(OFFSET($F10,0,DoneDays-TrendDays,1,TrendDays),OFFSET($F13,0,DoneDays-TrendDays,1,TrendDays),R13)&lt;0,"",TREND(OFFSET($F10,0,DoneDays-TrendDays,1,TrendDays),OFFSET($F13,0,DoneDays-TrendDays,1,TrendDays),R13))</f>
        <v>4.42857142857142</v>
      </c>
      <c r="S12" s="1" t="n">
        <f aca="true">IF(TREND(OFFSET($F10,0,DoneDays-TrendDays,1,TrendDays),OFFSET($F13,0,DoneDays-TrendDays,1,TrendDays),S13)&lt;0,"",TREND(OFFSET($F10,0,DoneDays-TrendDays,1,TrendDays),OFFSET($F13,0,DoneDays-TrendDays,1,TrendDays),S13))</f>
        <v>1.8076923076923</v>
      </c>
      <c r="T12" s="1" t="str">
        <f aca="true">IF(TREND(OFFSET($F10,0,DoneDays-TrendDays,1,TrendDays),OFFSET($F13,0,DoneDays-TrendDays,1,TrendDays),T13)&lt;0,"",TREND(OFFSET($F10,0,DoneDays-TrendDays,1,TrendDays),OFFSET($F13,0,DoneDays-TrendDays,1,TrendDays),T13))</f>
        <v/>
      </c>
      <c r="U12" s="1" t="str">
        <f aca="true">IF(TREND(OFFSET($F10,0,DoneDays-TrendDays,1,TrendDays),OFFSET($F13,0,DoneDays-TrendDays,1,TrendDays),U13)&lt;0,"",TREND(OFFSET($F10,0,DoneDays-TrendDays,1,TrendDays),OFFSET($F13,0,DoneDays-TrendDays,1,TrendDays),U13))</f>
        <v/>
      </c>
      <c r="V12" s="1" t="str">
        <f aca="true">IF(TREND(OFFSET($F10,0,DoneDays-TrendDays,1,TrendDays),OFFSET($F13,0,DoneDays-TrendDays,1,TrendDays),V13)&lt;0,"",TREND(OFFSET($F10,0,DoneDays-TrendDays,1,TrendDays),OFFSET($F13,0,DoneDays-TrendDays,1,TrendDays),V13))</f>
        <v/>
      </c>
      <c r="W12" s="1" t="str">
        <f aca="true">IF(TREND(OFFSET($F10,0,DoneDays-TrendDays,1,TrendDays),OFFSET($F13,0,DoneDays-TrendDays,1,TrendDays),W13)&lt;0,"",TREND(OFFSET($F10,0,DoneDays-TrendDays,1,TrendDays),OFFSET($F13,0,DoneDays-TrendDays,1,TrendDays),W13))</f>
        <v/>
      </c>
      <c r="X12" s="1" t="str">
        <f aca="true">IF(TREND(OFFSET($F10,0,DoneDays-TrendDays,1,TrendDays),OFFSET($F13,0,DoneDays-TrendDays,1,TrendDays),X13)&lt;0,"",TREND(OFFSET($F10,0,DoneDays-TrendDays,1,TrendDays),OFFSET($F13,0,DoneDays-TrendDays,1,TrendDays),X13))</f>
        <v/>
      </c>
      <c r="Y12" s="1" t="str">
        <f aca="true">IF(TREND(OFFSET($F10,0,DoneDays-TrendDays,1,TrendDays),OFFSET($F13,0,DoneDays-TrendDays,1,TrendDays),Y13)&lt;0,"",TREND(OFFSET($F10,0,DoneDays-TrendDays,1,TrendDays),OFFSET($F13,0,DoneDays-TrendDays,1,TrendDays),Y13))</f>
        <v/>
      </c>
      <c r="Z12" s="1" t="str">
        <f aca="true">IF(TREND(OFFSET($F10,0,DoneDays-TrendDays,1,TrendDays),OFFSET($F13,0,DoneDays-TrendDays,1,TrendDays),Z13)&lt;0,"",TREND(OFFSET($F10,0,DoneDays-TrendDays,1,TrendDays),OFFSET($F13,0,DoneDays-TrendDays,1,TrendDays),Z13))</f>
        <v/>
      </c>
      <c r="AA12" s="1" t="str">
        <f aca="true">IF(TREND(OFFSET($F10,0,DoneDays-TrendDays,1,TrendDays),OFFSET($F13,0,DoneDays-TrendDays,1,TrendDays),AA13)&lt;0,"",TREND(OFFSET($F10,0,DoneDays-TrendDays,1,TrendDays),OFFSET($F13,0,DoneDays-TrendDays,1,TrendDays),AA13))</f>
        <v/>
      </c>
      <c r="AB12" s="1" t="str">
        <f aca="true">IF(TREND(OFFSET($F10,0,DoneDays-TrendDays,1,TrendDays),OFFSET($F13,0,DoneDays-TrendDays,1,TrendDays),AB13)&lt;0,"",TREND(OFFSET($F10,0,DoneDays-TrendDays,1,TrendDays),OFFSET($F13,0,DoneDays-TrendDays,1,TrendDays),AB13))</f>
        <v/>
      </c>
      <c r="AC12" s="1" t="str">
        <f aca="true">IF(TREND(OFFSET($F10,0,DoneDays-TrendDays,1,TrendDays),OFFSET($F13,0,DoneDays-TrendDays,1,TrendDays),AC13)&lt;0,"",TREND(OFFSET($F10,0,DoneDays-TrendDays,1,TrendDays),OFFSET($F13,0,DoneDays-TrendDays,1,TrendDays),AC13))</f>
        <v/>
      </c>
      <c r="AD12" s="1" t="str">
        <f aca="true">IF(TREND(OFFSET($F10,0,DoneDays-TrendDays,1,TrendDays),OFFSET($F13,0,DoneDays-TrendDays,1,TrendDays),AD13)&lt;0,"",TREND(OFFSET($F10,0,DoneDays-TrendDays,1,TrendDays),OFFSET($F13,0,DoneDays-TrendDays,1,TrendDays),AD13))</f>
        <v/>
      </c>
    </row>
    <row r="13" customFormat="false" ht="13.2" hidden="true" customHeight="false" outlineLevel="0" collapsed="false">
      <c r="A13" s="54" t="s">
        <v>118</v>
      </c>
      <c r="C13" s="43" t="s">
        <v>119</v>
      </c>
      <c r="D13" s="1" t="n">
        <f aca="false">IF(DoneDays&gt;B10,B10,DoneDays)</f>
        <v>13</v>
      </c>
      <c r="E13" s="1"/>
      <c r="F13" s="1" t="n">
        <f aca="false">IF(DoneDays&gt;E13,E13+1,"")</f>
        <v>1</v>
      </c>
      <c r="G13" s="1" t="n">
        <v>2</v>
      </c>
      <c r="H13" s="1" t="n">
        <v>3</v>
      </c>
      <c r="I13" s="1" t="n">
        <v>4</v>
      </c>
      <c r="J13" s="1" t="n">
        <v>5</v>
      </c>
      <c r="K13" s="1" t="n">
        <v>6</v>
      </c>
      <c r="L13" s="1" t="n">
        <v>7</v>
      </c>
      <c r="M13" s="1" t="n">
        <v>8</v>
      </c>
      <c r="N13" s="1" t="n">
        <v>9</v>
      </c>
      <c r="O13" s="1" t="n">
        <v>10</v>
      </c>
      <c r="P13" s="1" t="n">
        <v>11</v>
      </c>
      <c r="Q13" s="1" t="n">
        <v>12</v>
      </c>
      <c r="R13" s="1" t="n">
        <v>13</v>
      </c>
      <c r="S13" s="1" t="n">
        <v>14</v>
      </c>
      <c r="T13" s="1" t="n">
        <v>15</v>
      </c>
      <c r="U13" s="1" t="n">
        <v>16</v>
      </c>
      <c r="V13" s="1" t="n">
        <v>17</v>
      </c>
      <c r="W13" s="1" t="n">
        <v>18</v>
      </c>
      <c r="X13" s="1" t="n">
        <v>19</v>
      </c>
      <c r="Y13" s="1" t="n">
        <v>20</v>
      </c>
      <c r="Z13" s="1" t="n">
        <v>21</v>
      </c>
      <c r="AA13" s="1" t="n">
        <v>22</v>
      </c>
      <c r="AB13" s="1" t="n">
        <v>23</v>
      </c>
      <c r="AC13" s="1" t="n">
        <v>24</v>
      </c>
      <c r="AD13" s="1" t="n">
        <v>25</v>
      </c>
    </row>
    <row r="14" customFormat="false" ht="13.2" hidden="false" customHeight="false" outlineLevel="0" collapsed="false">
      <c r="A14" s="68" t="s">
        <v>120</v>
      </c>
      <c r="B14" s="71" t="s">
        <v>20</v>
      </c>
      <c r="C14" s="68" t="s">
        <v>121</v>
      </c>
      <c r="D14" s="68" t="s">
        <v>6</v>
      </c>
      <c r="E14" s="71" t="s">
        <v>122</v>
      </c>
      <c r="F14" s="71" t="n">
        <v>1</v>
      </c>
      <c r="G14" s="71" t="n">
        <f aca="false">IF($B$9&gt;F14,F14+1,"")</f>
        <v>2</v>
      </c>
      <c r="H14" s="71" t="n">
        <f aca="false">IF($B$9&gt;G14,G14+1,"")</f>
        <v>3</v>
      </c>
      <c r="I14" s="71" t="n">
        <f aca="false">IF($B$9&gt;H14,H14+1,"")</f>
        <v>4</v>
      </c>
      <c r="J14" s="71" t="n">
        <f aca="false">IF($B$9&gt;I14,I14+1,"")</f>
        <v>5</v>
      </c>
      <c r="K14" s="71" t="n">
        <f aca="false">IF($B$9&gt;J14,J14+1,"")</f>
        <v>6</v>
      </c>
      <c r="L14" s="71" t="n">
        <f aca="false">IF($B$9&gt;K14,K14+1,"")</f>
        <v>7</v>
      </c>
      <c r="M14" s="71" t="n">
        <f aca="false">IF($B$9&gt;L14,L14+1,"")</f>
        <v>8</v>
      </c>
      <c r="N14" s="71" t="n">
        <f aca="false">IF($B$9&gt;M14,M14+1,"")</f>
        <v>9</v>
      </c>
      <c r="O14" s="71" t="n">
        <f aca="false">IF($B$9&gt;N14,N14+1,"")</f>
        <v>10</v>
      </c>
      <c r="P14" s="71" t="n">
        <f aca="false">IF($B$9&gt;O14,O14+1,"")</f>
        <v>11</v>
      </c>
      <c r="Q14" s="71" t="n">
        <f aca="false">IF($B$9&gt;P14,P14+1,"")</f>
        <v>12</v>
      </c>
      <c r="R14" s="71" t="n">
        <f aca="false">IF($B$9&gt;Q14,Q14+1,"")</f>
        <v>13</v>
      </c>
      <c r="S14" s="71" t="n">
        <f aca="false">IF($B$9&gt;R14,R14+1,"")</f>
        <v>14</v>
      </c>
      <c r="T14" s="71" t="str">
        <f aca="false">IF($B$9&gt;S14,S14+1,"")</f>
        <v/>
      </c>
      <c r="U14" s="71" t="str">
        <f aca="false">IF($B$9&gt;T14,T14+1,"")</f>
        <v/>
      </c>
      <c r="V14" s="71" t="str">
        <f aca="false">IF($B$9&gt;U14,U14+1,"")</f>
        <v/>
      </c>
      <c r="W14" s="71" t="str">
        <f aca="false">IF($B$9&gt;V14,V14+1,"")</f>
        <v/>
      </c>
      <c r="X14" s="71" t="str">
        <f aca="false">IF($B$9&gt;W14,W14+1,"")</f>
        <v/>
      </c>
      <c r="Y14" s="71" t="str">
        <f aca="false">IF($B$9&gt;X14,X14+1,"")</f>
        <v/>
      </c>
      <c r="Z14" s="71" t="str">
        <f aca="false">IF($B$9&gt;Y14,Y14+1,"")</f>
        <v/>
      </c>
      <c r="AA14" s="71" t="str">
        <f aca="false">IF($B$9&gt;Z14,Z14+1,"")</f>
        <v/>
      </c>
      <c r="AB14" s="71" t="str">
        <f aca="false">IF($B$9&gt;AA14,AA14+1,"")</f>
        <v/>
      </c>
      <c r="AC14" s="71" t="str">
        <f aca="false">IF($B$9&gt;AB14,AB14+1,"")</f>
        <v/>
      </c>
      <c r="AD14" s="71" t="str">
        <f aca="false">IF($B$9&gt;AC14,AC14+1,"")</f>
        <v/>
      </c>
    </row>
    <row r="15" customFormat="false" ht="12.8" hidden="false" customHeight="false" outlineLevel="0" collapsed="false">
      <c r="A15" s="72" t="s">
        <v>123</v>
      </c>
      <c r="B15" s="1" t="n">
        <v>1</v>
      </c>
      <c r="C15" s="72" t="s">
        <v>124</v>
      </c>
      <c r="D15" s="72" t="s">
        <v>13</v>
      </c>
      <c r="E15" s="1" t="n">
        <v>4</v>
      </c>
      <c r="F15" s="1" t="n">
        <f aca="false">IF(OR(F$14="",$E15=""),"",E15)</f>
        <v>4</v>
      </c>
      <c r="G15" s="1" t="n">
        <v>4</v>
      </c>
      <c r="H15" s="1" t="n">
        <v>2</v>
      </c>
      <c r="I15" s="1" t="n">
        <v>2</v>
      </c>
      <c r="J15" s="41" t="n">
        <v>2</v>
      </c>
      <c r="K15" s="41" t="n">
        <v>1</v>
      </c>
      <c r="L15" s="41" t="n">
        <v>1</v>
      </c>
      <c r="M15" s="41" t="n">
        <v>1</v>
      </c>
      <c r="N15" s="41" t="n">
        <v>1</v>
      </c>
      <c r="O15" s="41" t="n">
        <v>0</v>
      </c>
      <c r="P15" s="41" t="n">
        <v>0</v>
      </c>
      <c r="Q15" s="41" t="n">
        <v>0</v>
      </c>
      <c r="R15" s="41" t="n">
        <v>0</v>
      </c>
      <c r="S15" s="41" t="n">
        <v>0</v>
      </c>
    </row>
    <row r="16" customFormat="false" ht="13.2" hidden="false" customHeight="false" outlineLevel="0" collapsed="false">
      <c r="A16" s="72" t="s">
        <v>28</v>
      </c>
      <c r="B16" s="1" t="n">
        <v>3</v>
      </c>
      <c r="C16" s="72" t="s">
        <v>125</v>
      </c>
      <c r="D16" s="72" t="s">
        <v>13</v>
      </c>
      <c r="E16" s="1" t="n">
        <v>18</v>
      </c>
      <c r="F16" s="1" t="n">
        <v>17</v>
      </c>
      <c r="G16" s="1" t="n">
        <v>15</v>
      </c>
      <c r="H16" s="1" t="n">
        <v>15</v>
      </c>
      <c r="I16" s="1" t="n">
        <v>13</v>
      </c>
      <c r="J16" s="41" t="n">
        <v>12</v>
      </c>
      <c r="K16" s="41" t="n">
        <v>12</v>
      </c>
      <c r="L16" s="41" t="n">
        <v>10</v>
      </c>
      <c r="M16" s="41" t="n">
        <v>8</v>
      </c>
      <c r="N16" s="41" t="n">
        <v>5</v>
      </c>
      <c r="O16" s="41" t="n">
        <v>5</v>
      </c>
      <c r="P16" s="41" t="n">
        <v>5</v>
      </c>
      <c r="Q16" s="41" t="n">
        <v>2</v>
      </c>
      <c r="R16" s="41" t="n">
        <v>2</v>
      </c>
      <c r="S16" s="41" t="n">
        <v>0</v>
      </c>
    </row>
    <row r="17" customFormat="false" ht="12.8" hidden="false" customHeight="false" outlineLevel="0" collapsed="false">
      <c r="A17" s="72" t="s">
        <v>126</v>
      </c>
      <c r="B17" s="1" t="n">
        <v>4</v>
      </c>
      <c r="C17" s="72" t="s">
        <v>127</v>
      </c>
      <c r="D17" s="72" t="s">
        <v>13</v>
      </c>
      <c r="E17" s="1" t="n">
        <v>4</v>
      </c>
      <c r="F17" s="1" t="n">
        <f aca="false">IF(OR(F$14="",$E17=""),"",E17)</f>
        <v>4</v>
      </c>
      <c r="G17" s="1" t="n">
        <v>4</v>
      </c>
      <c r="H17" s="1" t="n">
        <v>4</v>
      </c>
      <c r="I17" s="1" t="n">
        <v>3</v>
      </c>
      <c r="J17" s="41" t="n">
        <v>3</v>
      </c>
      <c r="K17" s="41" t="n">
        <v>3</v>
      </c>
      <c r="L17" s="41" t="n">
        <v>3</v>
      </c>
      <c r="M17" s="41" t="n">
        <v>2</v>
      </c>
      <c r="N17" s="41" t="n">
        <v>2</v>
      </c>
      <c r="O17" s="41" t="n">
        <v>2</v>
      </c>
      <c r="P17" s="41" t="n">
        <v>2</v>
      </c>
      <c r="Q17" s="41" t="n">
        <v>2</v>
      </c>
      <c r="R17" s="41" t="n">
        <v>1</v>
      </c>
      <c r="S17" s="41" t="n">
        <v>0</v>
      </c>
      <c r="AC17" s="41" t="str">
        <f aca="false">IF(OR(AC$14="",$E17=""),"",AB17)</f>
        <v/>
      </c>
      <c r="AD17" s="41" t="str">
        <f aca="false">IF(OR(AD$14="",$E17=""),"",AC17)</f>
        <v/>
      </c>
    </row>
    <row r="18" customFormat="false" ht="12.8" hidden="false" customHeight="false" outlineLevel="0" collapsed="false">
      <c r="A18" s="72" t="s">
        <v>128</v>
      </c>
      <c r="B18" s="1" t="n">
        <v>8</v>
      </c>
      <c r="C18" s="72" t="s">
        <v>129</v>
      </c>
      <c r="D18" s="72" t="s">
        <v>13</v>
      </c>
      <c r="E18" s="1" t="n">
        <v>4</v>
      </c>
      <c r="F18" s="1" t="n">
        <f aca="false">IF(OR(F$14="",$E18=""),"",E18)</f>
        <v>4</v>
      </c>
      <c r="G18" s="1" t="n">
        <v>4</v>
      </c>
      <c r="H18" s="1" t="n">
        <v>4</v>
      </c>
      <c r="I18" s="1" t="n">
        <v>2</v>
      </c>
      <c r="J18" s="41" t="n">
        <v>2</v>
      </c>
      <c r="K18" s="41" t="n">
        <v>2</v>
      </c>
      <c r="L18" s="41" t="n">
        <v>2</v>
      </c>
      <c r="M18" s="41" t="n">
        <v>2</v>
      </c>
      <c r="N18" s="41" t="n">
        <v>2</v>
      </c>
      <c r="O18" s="41" t="n">
        <v>2</v>
      </c>
      <c r="P18" s="41" t="n">
        <v>1</v>
      </c>
      <c r="Q18" s="41" t="n">
        <v>1</v>
      </c>
      <c r="R18" s="41" t="n">
        <v>0</v>
      </c>
      <c r="S18" s="41" t="n">
        <v>0</v>
      </c>
    </row>
    <row r="19" customFormat="false" ht="12.8" hidden="false" customHeight="false" outlineLevel="0" collapsed="false">
      <c r="A19" s="49" t="s">
        <v>130</v>
      </c>
      <c r="B19" s="41" t="n">
        <v>11</v>
      </c>
      <c r="C19" s="72" t="s">
        <v>127</v>
      </c>
      <c r="D19" s="73" t="s">
        <v>13</v>
      </c>
      <c r="E19" s="41" t="n">
        <v>4</v>
      </c>
      <c r="F19" s="41" t="n">
        <f aca="false">IF(OR(F$14="",$E19=""),"",E19)</f>
        <v>4</v>
      </c>
      <c r="G19" s="41" t="n">
        <v>4</v>
      </c>
      <c r="H19" s="41" t="n">
        <v>3</v>
      </c>
      <c r="I19" s="41" t="n">
        <v>3</v>
      </c>
      <c r="J19" s="41" t="n">
        <v>3</v>
      </c>
      <c r="K19" s="41" t="n">
        <v>2</v>
      </c>
      <c r="L19" s="41" t="n">
        <v>2</v>
      </c>
      <c r="M19" s="41" t="n">
        <v>2</v>
      </c>
      <c r="N19" s="41" t="n">
        <v>2</v>
      </c>
      <c r="O19" s="41" t="n">
        <v>1</v>
      </c>
      <c r="P19" s="41" t="n">
        <v>1</v>
      </c>
      <c r="Q19" s="41" t="n">
        <v>1</v>
      </c>
      <c r="R19" s="41" t="n">
        <v>1</v>
      </c>
      <c r="S19" s="41" t="n">
        <v>0</v>
      </c>
      <c r="AC19" s="41" t="str">
        <f aca="false">IF(OR(AC$14="",$E19=""),"",AB19)</f>
        <v/>
      </c>
      <c r="AD19" s="41" t="str">
        <f aca="false">IF(OR(AD$14="",$E19=""),"",AC19)</f>
        <v/>
      </c>
    </row>
    <row r="20" customFormat="false" ht="13.2" hidden="false" customHeight="false" outlineLevel="0" collapsed="false">
      <c r="A20" s="49" t="s">
        <v>131</v>
      </c>
      <c r="B20" s="41" t="n">
        <v>13</v>
      </c>
      <c r="C20" s="72" t="s">
        <v>129</v>
      </c>
      <c r="D20" s="73" t="s">
        <v>13</v>
      </c>
      <c r="E20" s="41" t="n">
        <v>6</v>
      </c>
      <c r="F20" s="41" t="n">
        <v>4</v>
      </c>
      <c r="G20" s="41" t="n">
        <v>3</v>
      </c>
      <c r="H20" s="41" t="n">
        <v>3</v>
      </c>
      <c r="I20" s="41" t="n">
        <v>3</v>
      </c>
      <c r="J20" s="41" t="n">
        <v>3</v>
      </c>
      <c r="K20" s="41" t="n">
        <v>3</v>
      </c>
      <c r="L20" s="41" t="n">
        <v>2</v>
      </c>
      <c r="M20" s="41" t="n">
        <v>2</v>
      </c>
      <c r="N20" s="41" t="n">
        <v>2</v>
      </c>
      <c r="O20" s="41" t="n">
        <v>2</v>
      </c>
      <c r="P20" s="41" t="n">
        <v>2</v>
      </c>
      <c r="Q20" s="41" t="n">
        <v>1</v>
      </c>
      <c r="R20" s="41" t="n">
        <v>1</v>
      </c>
      <c r="S20" s="41" t="n">
        <v>0</v>
      </c>
      <c r="AC20" s="41" t="str">
        <f aca="false">IF(OR(AC$14="",$E20=""),"",AB20)</f>
        <v/>
      </c>
      <c r="AD20" s="41" t="str">
        <f aca="false">IF(OR(AD$14="",$E20=""),"",AC20)</f>
        <v/>
      </c>
    </row>
    <row r="21" customFormat="false" ht="13.2" hidden="false" customHeight="false" outlineLevel="0" collapsed="false">
      <c r="A21" s="49"/>
      <c r="C21" s="72"/>
      <c r="D21" s="73"/>
      <c r="AC21" s="41" t="str">
        <f aca="false">IF(OR(AC$14="",$E21=""),"",AB21)</f>
        <v/>
      </c>
      <c r="AD21" s="41" t="str">
        <f aca="false">IF(OR(AD$14="",$E21=""),"",AC21)</f>
        <v/>
      </c>
    </row>
    <row r="22" customFormat="false" ht="13.2" hidden="false" customHeight="false" outlineLevel="0" collapsed="false">
      <c r="A22" s="49"/>
      <c r="C22" s="72"/>
      <c r="D22" s="73"/>
      <c r="AC22" s="41" t="str">
        <f aca="false">IF(OR(AC$14="",$E22=""),"",AB22)</f>
        <v/>
      </c>
      <c r="AD22" s="41" t="str">
        <f aca="false">IF(OR(AD$14="",$E22=""),"",AC22)</f>
        <v/>
      </c>
    </row>
    <row r="23" customFormat="false" ht="15" hidden="false" customHeight="true" outlineLevel="0" collapsed="false">
      <c r="A23" s="49"/>
      <c r="C23" s="72"/>
      <c r="D23" s="73"/>
      <c r="AC23" s="41" t="str">
        <f aca="false">IF(OR(AC$14="",$E23=""),"",AB23)</f>
        <v/>
      </c>
      <c r="AD23" s="41" t="str">
        <f aca="false">IF(OR(AD$14="",$E23=""),"",AC23)</f>
        <v/>
      </c>
    </row>
    <row r="24" customFormat="false" ht="13.2" hidden="false" customHeight="false" outlineLevel="0" collapsed="false">
      <c r="A24" s="49"/>
      <c r="C24" s="72"/>
      <c r="D24" s="73"/>
      <c r="AC24" s="41" t="str">
        <f aca="false">IF(OR(AC$14="",$E24=""),"",AB24)</f>
        <v/>
      </c>
      <c r="AD24" s="41" t="str">
        <f aca="false">IF(OR(AD$14="",$E24=""),"",AC24)</f>
        <v/>
      </c>
    </row>
    <row r="25" customFormat="false" ht="13.2" hidden="false" customHeight="false" outlineLevel="0" collapsed="false">
      <c r="A25" s="49"/>
      <c r="C25" s="72"/>
      <c r="D25" s="73"/>
    </row>
    <row r="26" customFormat="false" ht="13.2" hidden="false" customHeight="false" outlineLevel="0" collapsed="false">
      <c r="A26" s="49"/>
      <c r="C26" s="72"/>
      <c r="D26" s="73"/>
      <c r="AC26" s="41" t="str">
        <f aca="false">IF(OR(AC$14="",$E26=""),"",AB26)</f>
        <v/>
      </c>
      <c r="AD26" s="41" t="str">
        <f aca="false">IF(OR(AD$14="",$E26=""),"",AC26)</f>
        <v/>
      </c>
    </row>
    <row r="27" customFormat="false" ht="12.8" hidden="false" customHeight="false" outlineLevel="0" collapsed="false">
      <c r="A27" s="49"/>
      <c r="C27" s="72"/>
      <c r="D27" s="73"/>
      <c r="J27" s="0"/>
      <c r="K27" s="0"/>
      <c r="L27" s="0"/>
      <c r="M27" s="0"/>
      <c r="N27" s="0"/>
      <c r="O27" s="0"/>
      <c r="P27" s="0"/>
      <c r="Q27" s="0"/>
      <c r="R27" s="0"/>
      <c r="AC27" s="41" t="str">
        <f aca="false">IF(OR(AC$14="",$E27=""),"",AB27)</f>
        <v/>
      </c>
      <c r="AD27" s="41" t="str">
        <f aca="false">IF(OR(AD$14="",$E27=""),"",AC27)</f>
        <v/>
      </c>
    </row>
    <row r="28" customFormat="false" ht="12.8" hidden="false" customHeight="false" outlineLevel="0" collapsed="false">
      <c r="A28" s="49"/>
      <c r="C28" s="72"/>
      <c r="D28" s="73"/>
      <c r="J28" s="0"/>
      <c r="K28" s="0"/>
      <c r="R28" s="0"/>
      <c r="AC28" s="41" t="str">
        <f aca="false">IF(OR(AC$14="",$E27=""),"",AB28)</f>
        <v/>
      </c>
      <c r="AD28" s="41" t="str">
        <f aca="false">IF(OR(AD$14="",$E27=""),"",AC28)</f>
        <v/>
      </c>
    </row>
    <row r="29" customFormat="false" ht="12.8" hidden="false" customHeight="false" outlineLevel="0" collapsed="false">
      <c r="A29" s="49"/>
      <c r="C29" s="72"/>
      <c r="D29" s="73"/>
      <c r="J29" s="0"/>
      <c r="K29" s="0"/>
      <c r="AC29" s="41" t="str">
        <f aca="false">IF(OR(AC$14="",$E28=""),"",AB29)</f>
        <v/>
      </c>
      <c r="AD29" s="41" t="str">
        <f aca="false">IF(OR(AD$14="",$E28=""),"",AC29)</f>
        <v/>
      </c>
    </row>
    <row r="30" customFormat="false" ht="12.8" hidden="false" customHeight="false" outlineLevel="0" collapsed="false">
      <c r="A30" s="49"/>
      <c r="C30" s="72"/>
      <c r="D30" s="73"/>
      <c r="J30" s="0"/>
      <c r="K30" s="0"/>
      <c r="AC30" s="41" t="str">
        <f aca="false">IF(OR(AC$14="",$E29=""),"",AB30)</f>
        <v/>
      </c>
      <c r="AD30" s="41" t="str">
        <f aca="false">IF(OR(AD$14="",$E29=""),"",AC30)</f>
        <v/>
      </c>
    </row>
    <row r="31" customFormat="false" ht="12.8" hidden="false" customHeight="false" outlineLevel="0" collapsed="false">
      <c r="A31" s="49"/>
      <c r="C31" s="72"/>
      <c r="D31" s="73"/>
      <c r="J31" s="0"/>
      <c r="K31" s="0"/>
      <c r="AC31" s="41" t="str">
        <f aca="false">IF(OR(AC$14="",$E30=""),"",AB31)</f>
        <v/>
      </c>
      <c r="AD31" s="41" t="str">
        <f aca="false">IF(OR(AD$14="",$E30=""),"",AC31)</f>
        <v/>
      </c>
    </row>
    <row r="32" customFormat="false" ht="12.8" hidden="false" customHeight="false" outlineLevel="0" collapsed="false">
      <c r="A32" s="49"/>
      <c r="C32" s="72"/>
      <c r="D32" s="73"/>
      <c r="J32" s="0"/>
      <c r="K32" s="0"/>
      <c r="AC32" s="41" t="str">
        <f aca="false">IF(OR(AC$14="",$E31=""),"",AB32)</f>
        <v/>
      </c>
      <c r="AD32" s="41" t="str">
        <f aca="false">IF(OR(AD$14="",$E31=""),"",AC32)</f>
        <v/>
      </c>
    </row>
    <row r="33" customFormat="false" ht="12.8" hidden="false" customHeight="false" outlineLevel="0" collapsed="false">
      <c r="A33" s="49"/>
      <c r="C33" s="72"/>
      <c r="D33" s="73"/>
      <c r="J33" s="0"/>
      <c r="K33" s="0"/>
      <c r="AC33" s="41" t="str">
        <f aca="false">IF(OR(AC$14="",$E32=""),"",AB33)</f>
        <v/>
      </c>
      <c r="AD33" s="41" t="str">
        <f aca="false">IF(OR(AD$14="",$E32=""),"",AC33)</f>
        <v/>
      </c>
    </row>
    <row r="34" customFormat="false" ht="12.8" hidden="false" customHeight="false" outlineLevel="0" collapsed="false">
      <c r="A34" s="49"/>
      <c r="C34" s="72"/>
      <c r="D34" s="73"/>
      <c r="J34" s="0"/>
      <c r="K34" s="0"/>
      <c r="AC34" s="41" t="str">
        <f aca="false">IF(OR(AC$14="",$E33=""),"",AB34)</f>
        <v/>
      </c>
      <c r="AD34" s="41" t="str">
        <f aca="false">IF(OR(AD$14="",$E33=""),"",AC34)</f>
        <v/>
      </c>
    </row>
    <row r="35" customFormat="false" ht="12.8" hidden="false" customHeight="false" outlineLevel="0" collapsed="false">
      <c r="A35" s="49"/>
      <c r="C35" s="72"/>
      <c r="D35" s="73"/>
      <c r="J35" s="0"/>
      <c r="K35" s="0"/>
    </row>
    <row r="36" customFormat="false" ht="12.8" hidden="false" customHeight="false" outlineLevel="0" collapsed="false">
      <c r="A36" s="49"/>
      <c r="C36" s="72"/>
      <c r="D36" s="73"/>
      <c r="J36" s="0"/>
      <c r="K36" s="0"/>
      <c r="AC36" s="41" t="str">
        <f aca="false">IF(OR(AC$14="",$E34=""),"",AB36)</f>
        <v/>
      </c>
      <c r="AD36" s="41" t="str">
        <f aca="false">IF(OR(AD$14="",$E34=""),"",AC36)</f>
        <v/>
      </c>
    </row>
    <row r="37" customFormat="false" ht="12.8" hidden="false" customHeight="false" outlineLevel="0" collapsed="false">
      <c r="A37" s="49"/>
      <c r="C37" s="72"/>
      <c r="D37" s="73"/>
      <c r="J37" s="0"/>
      <c r="K37" s="0"/>
      <c r="AC37" s="41" t="str">
        <f aca="false">IF(OR(AC$14="",$E35=""),"",AB37)</f>
        <v/>
      </c>
      <c r="AD37" s="41" t="str">
        <f aca="false">IF(OR(AD$14="",$E35=""),"",AC37)</f>
        <v/>
      </c>
    </row>
    <row r="38" customFormat="false" ht="12.8" hidden="false" customHeight="false" outlineLevel="0" collapsed="false">
      <c r="A38" s="49"/>
      <c r="C38" s="72"/>
      <c r="D38" s="73"/>
      <c r="J38" s="0"/>
      <c r="K38" s="0"/>
      <c r="AC38" s="41" t="str">
        <f aca="false">IF(OR(AC$14="",$E36=""),"",AB38)</f>
        <v/>
      </c>
      <c r="AD38" s="41" t="str">
        <f aca="false">IF(OR(AD$14="",$E36=""),"",AC38)</f>
        <v/>
      </c>
    </row>
    <row r="39" customFormat="false" ht="12.8" hidden="false" customHeight="false" outlineLevel="0" collapsed="false">
      <c r="A39" s="49"/>
      <c r="C39" s="72"/>
      <c r="D39" s="73"/>
      <c r="J39" s="0"/>
      <c r="K39" s="0"/>
      <c r="AC39" s="41" t="str">
        <f aca="false">IF(OR(AC$14="",$E37=""),"",AB39)</f>
        <v/>
      </c>
      <c r="AD39" s="41" t="str">
        <f aca="false">IF(OR(AD$14="",$E37=""),"",AC39)</f>
        <v/>
      </c>
    </row>
    <row r="40" customFormat="false" ht="12.8" hidden="false" customHeight="false" outlineLevel="0" collapsed="false">
      <c r="A40" s="49"/>
      <c r="C40" s="72"/>
      <c r="D40" s="73"/>
      <c r="E40" s="0"/>
      <c r="F40" s="0"/>
      <c r="G40" s="0"/>
      <c r="H40" s="0"/>
      <c r="I40" s="0"/>
      <c r="J40" s="0"/>
      <c r="K40" s="0"/>
      <c r="L40" s="0"/>
      <c r="M40" s="0"/>
      <c r="N40" s="0"/>
      <c r="O40" s="0"/>
      <c r="P40" s="0"/>
      <c r="Q40" s="0"/>
      <c r="AC40" s="41" t="str">
        <f aca="false">IF(OR(AC$14="",$E39=""),"",AB40)</f>
        <v/>
      </c>
      <c r="AD40" s="41" t="str">
        <f aca="false">IF(OR(AD$14="",$E38=""),"",AC40)</f>
        <v/>
      </c>
    </row>
    <row r="41" customFormat="false" ht="12.8" hidden="false" customHeight="false" outlineLevel="0" collapsed="false">
      <c r="A41" s="49"/>
      <c r="C41" s="72"/>
      <c r="D41" s="73" t="str">
        <f aca="false">IF(A41&lt;&gt;"","Planned","")</f>
        <v/>
      </c>
      <c r="F41" s="41" t="str">
        <f aca="false">IF(OR(F$14="",$E41=""),"",E41)</f>
        <v/>
      </c>
      <c r="AC41" s="41" t="str">
        <f aca="false">IF(OR(AC$14="",$E41=""),"",AB41)</f>
        <v/>
      </c>
      <c r="AD41" s="41" t="str">
        <f aca="false">IF(OR(AD$14="",$E39=""),"",AC41)</f>
        <v/>
      </c>
    </row>
    <row r="42" customFormat="false" ht="12.8" hidden="false" customHeight="false" outlineLevel="0" collapsed="false">
      <c r="C42" s="72"/>
      <c r="D42" s="73" t="str">
        <f aca="false">IF(A42&lt;&gt;"","Planned","")</f>
        <v/>
      </c>
      <c r="F42" s="41" t="str">
        <f aca="false">IF(OR(F$14="",$E42=""),"",E42)</f>
        <v/>
      </c>
      <c r="AC42" s="41" t="str">
        <f aca="false">IF(OR(AC$14="",$E42=""),"",AB42)</f>
        <v/>
      </c>
      <c r="AD42" s="41" t="str">
        <f aca="false">IF(OR(AD$14="",$E41=""),"",AC42)</f>
        <v/>
      </c>
    </row>
    <row r="43" customFormat="false" ht="13.2" hidden="false" customHeight="false" outlineLevel="0" collapsed="false">
      <c r="C43" s="72"/>
      <c r="D43" s="73" t="str">
        <f aca="false">IF(A43&lt;&gt;"","Planned","")</f>
        <v/>
      </c>
      <c r="F43" s="41" t="str">
        <f aca="false">IF(OR(F$14="",$E43=""),"",E43)</f>
        <v/>
      </c>
      <c r="AC43" s="41" t="str">
        <f aca="false">IF(OR(AC$14="",$E43=""),"",AB43)</f>
        <v/>
      </c>
      <c r="AD43" s="41" t="str">
        <f aca="false">IF(OR(AD$14="",$E42=""),"",AC43)</f>
        <v/>
      </c>
    </row>
    <row r="44" customFormat="false" ht="13.2" hidden="false" customHeight="false" outlineLevel="0" collapsed="false">
      <c r="C44" s="72"/>
      <c r="D44" s="73" t="str">
        <f aca="false">IF(A44&lt;&gt;"","Planned","")</f>
        <v/>
      </c>
      <c r="F44" s="41" t="str">
        <f aca="false">IF(OR(F$14="",$E44=""),"",E44)</f>
        <v/>
      </c>
      <c r="AC44" s="41" t="str">
        <f aca="false">IF(OR(AC$14="",$E44=""),"",AB44)</f>
        <v/>
      </c>
      <c r="AD44" s="41" t="str">
        <f aca="false">IF(OR(AD$14="",$E43=""),"",AC44)</f>
        <v/>
      </c>
    </row>
    <row r="45" customFormat="false" ht="13.2" hidden="false" customHeight="false" outlineLevel="0" collapsed="false">
      <c r="C45" s="72"/>
      <c r="D45" s="73" t="str">
        <f aca="false">IF(A45&lt;&gt;"","Planned","")</f>
        <v/>
      </c>
      <c r="F45" s="41" t="str">
        <f aca="false">IF(OR(F$14="",$E45=""),"",E45)</f>
        <v/>
      </c>
      <c r="AC45" s="41" t="str">
        <f aca="false">IF(OR(AC$14="",$E45=""),"",AB45)</f>
        <v/>
      </c>
      <c r="AD45" s="41" t="str">
        <f aca="false">IF(OR(AD$14="",$E44=""),"",AC45)</f>
        <v/>
      </c>
    </row>
    <row r="46" customFormat="false" ht="13.2" hidden="false" customHeight="false" outlineLevel="0" collapsed="false">
      <c r="C46" s="72"/>
      <c r="D46" s="73" t="str">
        <f aca="false">IF(A46&lt;&gt;"","Planned","")</f>
        <v/>
      </c>
      <c r="F46" s="41" t="str">
        <f aca="false">IF(OR(F$14="",$E46=""),"",E46)</f>
        <v/>
      </c>
      <c r="AC46" s="41" t="str">
        <f aca="false">IF(OR(AC$14="",$E46=""),"",AB46)</f>
        <v/>
      </c>
      <c r="AD46" s="41" t="str">
        <f aca="false">IF(OR(AD$14="",$E45=""),"",AC46)</f>
        <v/>
      </c>
    </row>
    <row r="47" customFormat="false" ht="13.2" hidden="false" customHeight="false" outlineLevel="0" collapsed="false">
      <c r="C47" s="72"/>
      <c r="D47" s="73" t="str">
        <f aca="false">IF(A47&lt;&gt;"","Planned","")</f>
        <v/>
      </c>
      <c r="F47" s="41" t="str">
        <f aca="false">IF(OR(F$14="",$E47=""),"",E47)</f>
        <v/>
      </c>
      <c r="AC47" s="41" t="str">
        <f aca="false">IF(OR(AC$14="",$E47=""),"",AB47)</f>
        <v/>
      </c>
      <c r="AD47" s="41" t="str">
        <f aca="false">IF(OR(AD$14="",$E46=""),"",AC47)</f>
        <v/>
      </c>
    </row>
    <row r="48" customFormat="false" ht="13.2" hidden="false" customHeight="false" outlineLevel="0" collapsed="false">
      <c r="C48" s="72"/>
      <c r="D48" s="73" t="str">
        <f aca="false">IF(A48&lt;&gt;"","Planned","")</f>
        <v/>
      </c>
      <c r="F48" s="41" t="str">
        <f aca="false">IF(OR(F$14="",$E48=""),"",E48)</f>
        <v/>
      </c>
      <c r="AC48" s="41" t="str">
        <f aca="false">IF(OR(AC$14="",$E48=""),"",AB48)</f>
        <v/>
      </c>
      <c r="AD48" s="41" t="str">
        <f aca="false">IF(OR(AD$14="",$E47=""),"",AC48)</f>
        <v/>
      </c>
    </row>
    <row r="49" customFormat="false" ht="13.2" hidden="false" customHeight="false" outlineLevel="0" collapsed="false">
      <c r="C49" s="72"/>
      <c r="D49" s="73" t="str">
        <f aca="false">IF(A49&lt;&gt;"","Planned","")</f>
        <v/>
      </c>
      <c r="F49" s="41" t="str">
        <f aca="false">IF(OR(F$14="",$E49=""),"",E49)</f>
        <v/>
      </c>
      <c r="AC49" s="41" t="str">
        <f aca="false">IF(OR(AC$14="",$E49=""),"",AB49)</f>
        <v/>
      </c>
      <c r="AD49" s="41" t="str">
        <f aca="false">IF(OR(AD$14="",$E48=""),"",AC49)</f>
        <v/>
      </c>
    </row>
    <row r="50" customFormat="false" ht="13.2" hidden="false" customHeight="false" outlineLevel="0" collapsed="false">
      <c r="C50" s="72"/>
      <c r="D50" s="73" t="str">
        <f aca="false">IF(A50&lt;&gt;"","Planned","")</f>
        <v/>
      </c>
      <c r="F50" s="41" t="str">
        <f aca="false">IF(OR(F$14="",$E50=""),"",E50)</f>
        <v/>
      </c>
      <c r="AC50" s="41" t="str">
        <f aca="false">IF(OR(AC$14="",$E50=""),"",AB50)</f>
        <v/>
      </c>
      <c r="AD50" s="41" t="str">
        <f aca="false">IF(OR(AD$14="",$E49=""),"",AC50)</f>
        <v/>
      </c>
    </row>
    <row r="51" customFormat="false" ht="13.2" hidden="false" customHeight="false" outlineLevel="0" collapsed="false">
      <c r="C51" s="72"/>
      <c r="D51" s="73" t="str">
        <f aca="false">IF(A51&lt;&gt;"","Planned","")</f>
        <v/>
      </c>
      <c r="F51" s="41" t="str">
        <f aca="false">IF(OR(F$14="",$E51=""),"",E51)</f>
        <v/>
      </c>
      <c r="AC51" s="41" t="str">
        <f aca="false">IF(OR(AC$14="",$E51=""),"",AB51)</f>
        <v/>
      </c>
      <c r="AD51" s="41" t="str">
        <f aca="false">IF(OR(AD$14="",$E50=""),"",AC51)</f>
        <v/>
      </c>
    </row>
    <row r="52" customFormat="false" ht="13.2" hidden="false" customHeight="false" outlineLevel="0" collapsed="false">
      <c r="C52" s="72"/>
      <c r="D52" s="73" t="str">
        <f aca="false">IF(A52&lt;&gt;"","Planned","")</f>
        <v/>
      </c>
      <c r="F52" s="41" t="str">
        <f aca="false">IF(OR(F$14="",$E52=""),"",E52)</f>
        <v/>
      </c>
      <c r="AC52" s="41" t="str">
        <f aca="false">IF(OR(AC$14="",$E52=""),"",AB52)</f>
        <v/>
      </c>
      <c r="AD52" s="41" t="str">
        <f aca="false">IF(OR(AD$14="",$E51=""),"",AC52)</f>
        <v/>
      </c>
    </row>
    <row r="53" customFormat="false" ht="13.2" hidden="false" customHeight="false" outlineLevel="0" collapsed="false">
      <c r="C53" s="72"/>
      <c r="D53" s="73" t="str">
        <f aca="false">IF(A53&lt;&gt;"","Planned","")</f>
        <v/>
      </c>
      <c r="F53" s="41" t="str">
        <f aca="false">IF(OR(F$14="",$E53=""),"",E53)</f>
        <v/>
      </c>
      <c r="AC53" s="41" t="str">
        <f aca="false">IF(OR(AC$14="",$E53=""),"",AB53)</f>
        <v/>
      </c>
      <c r="AD53" s="41" t="str">
        <f aca="false">IF(OR(AD$14="",$E52=""),"",AC53)</f>
        <v/>
      </c>
    </row>
    <row r="54" customFormat="false" ht="13.2" hidden="false" customHeight="false" outlineLevel="0" collapsed="false">
      <c r="C54" s="72"/>
      <c r="D54" s="73" t="str">
        <f aca="false">IF(A54&lt;&gt;"","Planned","")</f>
        <v/>
      </c>
      <c r="F54" s="41" t="str">
        <f aca="false">IF(OR(F$14="",$E54=""),"",E54)</f>
        <v/>
      </c>
      <c r="AC54" s="41" t="str">
        <f aca="false">IF(OR(AC$14="",$E54=""),"",AB54)</f>
        <v/>
      </c>
      <c r="AD54" s="41" t="str">
        <f aca="false">IF(OR(AD$14="",$E53=""),"",AC54)</f>
        <v/>
      </c>
    </row>
    <row r="55" customFormat="false" ht="13.2" hidden="false" customHeight="false" outlineLevel="0" collapsed="false">
      <c r="C55" s="72"/>
      <c r="D55" s="73" t="str">
        <f aca="false">IF(A55&lt;&gt;"","Planned","")</f>
        <v/>
      </c>
      <c r="F55" s="41" t="str">
        <f aca="false">IF(OR(F$14="",$E55=""),"",E55)</f>
        <v/>
      </c>
      <c r="AC55" s="41" t="str">
        <f aca="false">IF(OR(AC$14="",$E55=""),"",AB55)</f>
        <v/>
      </c>
      <c r="AD55" s="41" t="str">
        <f aca="false">IF(OR(AD$14="",$E54=""),"",AC55)</f>
        <v/>
      </c>
    </row>
    <row r="56" customFormat="false" ht="13.2" hidden="false" customHeight="false" outlineLevel="0" collapsed="false">
      <c r="C56" s="72"/>
      <c r="D56" s="73" t="str">
        <f aca="false">IF(A56&lt;&gt;"","Planned","")</f>
        <v/>
      </c>
      <c r="F56" s="41" t="str">
        <f aca="false">IF(OR(F$14="",$E56=""),"",E56)</f>
        <v/>
      </c>
      <c r="AC56" s="41" t="str">
        <f aca="false">IF(OR(AC$14="",$E56=""),"",AB56)</f>
        <v/>
      </c>
      <c r="AD56" s="41" t="str">
        <f aca="false">IF(OR(AD$14="",$E55=""),"",AC56)</f>
        <v/>
      </c>
    </row>
    <row r="57" customFormat="false" ht="13.2" hidden="false" customHeight="false" outlineLevel="0" collapsed="false">
      <c r="C57" s="72"/>
      <c r="D57" s="73" t="str">
        <f aca="false">IF(A57&lt;&gt;"","Planned","")</f>
        <v/>
      </c>
      <c r="F57" s="41" t="str">
        <f aca="false">IF(OR(F$14="",$E57=""),"",E57)</f>
        <v/>
      </c>
      <c r="AC57" s="41" t="str">
        <f aca="false">IF(OR(AC$14="",$E57=""),"",AB57)</f>
        <v/>
      </c>
      <c r="AD57" s="41" t="str">
        <f aca="false">IF(OR(AD$14="",$E56=""),"",AC57)</f>
        <v/>
      </c>
    </row>
    <row r="58" customFormat="false" ht="13.2" hidden="false" customHeight="false" outlineLevel="0" collapsed="false">
      <c r="C58" s="72"/>
      <c r="D58" s="73" t="str">
        <f aca="false">IF(A58&lt;&gt;"","Planned","")</f>
        <v/>
      </c>
      <c r="F58" s="41" t="str">
        <f aca="false">IF(OR(F$14="",$E58=""),"",E58)</f>
        <v/>
      </c>
      <c r="AC58" s="41" t="str">
        <f aca="false">IF(OR(AC$14="",$E58=""),"",AB58)</f>
        <v/>
      </c>
      <c r="AD58" s="41" t="str">
        <f aca="false">IF(OR(AD$14="",$E57=""),"",AC58)</f>
        <v/>
      </c>
    </row>
    <row r="59" customFormat="false" ht="13.2" hidden="false" customHeight="false" outlineLevel="0" collapsed="false">
      <c r="D59" s="43" t="str">
        <f aca="false">IF(A59&lt;&gt;"","Planned","")</f>
        <v/>
      </c>
      <c r="F59" s="41" t="str">
        <f aca="false">IF(OR(F$14="",$E59=""),"",E59)</f>
        <v/>
      </c>
      <c r="AC59" s="41" t="str">
        <f aca="false">IF(OR(AC$14="",$E59=""),"",AB59)</f>
        <v/>
      </c>
      <c r="AD59" s="41" t="str">
        <f aca="false">IF(OR(AD$14="",$E58=""),"",AC59)</f>
        <v/>
      </c>
    </row>
    <row r="60" customFormat="false" ht="13.2" hidden="false" customHeight="false" outlineLevel="0" collapsed="false">
      <c r="D60" s="43" t="str">
        <f aca="false">IF(A60&lt;&gt;"","Planned","")</f>
        <v/>
      </c>
      <c r="F60" s="41" t="str">
        <f aca="false">IF(OR(F$14="",$E60=""),"",E60)</f>
        <v/>
      </c>
      <c r="AC60" s="41" t="str">
        <f aca="false">IF(OR(AC$14="",$E60=""),"",AB60)</f>
        <v/>
      </c>
      <c r="AD60" s="41" t="str">
        <f aca="false">IF(OR(AD$14="",$E59=""),"",AC60)</f>
        <v/>
      </c>
    </row>
    <row r="61" customFormat="false" ht="13.2" hidden="false" customHeight="false" outlineLevel="0" collapsed="false">
      <c r="D61" s="43" t="str">
        <f aca="false">IF(A61&lt;&gt;"","Planned","")</f>
        <v/>
      </c>
      <c r="F61" s="41" t="str">
        <f aca="false">IF(OR(F$14="",$E61=""),"",E61)</f>
        <v/>
      </c>
      <c r="AC61" s="41" t="str">
        <f aca="false">IF(OR(AC$14="",$E61=""),"",AB61)</f>
        <v/>
      </c>
      <c r="AD61" s="41" t="str">
        <f aca="false">IF(OR(AD$14="",$E60=""),"",AC61)</f>
        <v/>
      </c>
    </row>
    <row r="62" customFormat="false" ht="13.2" hidden="false" customHeight="false" outlineLevel="0" collapsed="false">
      <c r="D62" s="43" t="str">
        <f aca="false">IF(A62&lt;&gt;"","Planned","")</f>
        <v/>
      </c>
      <c r="F62" s="41" t="str">
        <f aca="false">IF(OR(F$14="",$E62=""),"",E62)</f>
        <v/>
      </c>
      <c r="G62" s="41" t="str">
        <f aca="false">IF(OR(G$14="",$E62=""),"",F62)</f>
        <v/>
      </c>
      <c r="H62" s="41" t="str">
        <f aca="false">IF(OR(H$14="",$E62=""),"",G62)</f>
        <v/>
      </c>
      <c r="I62" s="41" t="str">
        <f aca="false">IF(OR(I$14="",$E62=""),"",H62)</f>
        <v/>
      </c>
      <c r="J62" s="41" t="str">
        <f aca="false">IF(OR(J$14="",$E62=""),"",I62)</f>
        <v/>
      </c>
      <c r="K62" s="41" t="str">
        <f aca="false">IF(OR(K$14="",$E62=""),"",J62)</f>
        <v/>
      </c>
      <c r="L62" s="41" t="str">
        <f aca="false">IF(OR(L$14="",$E62=""),"",K62)</f>
        <v/>
      </c>
      <c r="M62" s="41" t="str">
        <f aca="false">IF(OR(M$14="",$E62=""),"",L62)</f>
        <v/>
      </c>
      <c r="N62" s="41" t="str">
        <f aca="false">IF(OR(N$14="",$E62=""),"",M62)</f>
        <v/>
      </c>
      <c r="O62" s="41" t="str">
        <f aca="false">IF(OR(O$14="",$E62=""),"",N62)</f>
        <v/>
      </c>
      <c r="P62" s="41" t="str">
        <f aca="false">IF(OR(P$14="",$E62=""),"",O62)</f>
        <v/>
      </c>
      <c r="Q62" s="41" t="str">
        <f aca="false">IF(OR(Q$14="",$E62=""),"",P62)</f>
        <v/>
      </c>
      <c r="R62" s="41" t="str">
        <f aca="false">IF(OR(R$14="",$E62=""),"",Q62)</f>
        <v/>
      </c>
      <c r="S62" s="41" t="str">
        <f aca="false">IF(OR(S$14="",$E62=""),"",R62)</f>
        <v/>
      </c>
      <c r="T62" s="41" t="str">
        <f aca="false">IF(OR(T$14="",$E62=""),"",S62)</f>
        <v/>
      </c>
      <c r="U62" s="41" t="str">
        <f aca="false">IF(OR(U$14="",$E62=""),"",T62)</f>
        <v/>
      </c>
      <c r="V62" s="41" t="str">
        <f aca="false">IF(OR(V$14="",$E62=""),"",U62)</f>
        <v/>
      </c>
      <c r="W62" s="41" t="str">
        <f aca="false">IF(OR(W$14="",$E62=""),"",V62)</f>
        <v/>
      </c>
      <c r="X62" s="41" t="str">
        <f aca="false">IF(OR(X$14="",$E62=""),"",W62)</f>
        <v/>
      </c>
      <c r="Y62" s="41" t="str">
        <f aca="false">IF(OR(Y$14="",$E62=""),"",X62)</f>
        <v/>
      </c>
      <c r="Z62" s="41" t="str">
        <f aca="false">IF(OR(Z$14="",$E62=""),"",Y62)</f>
        <v/>
      </c>
      <c r="AA62" s="41" t="str">
        <f aca="false">IF(OR(AA$14="",$E62=""),"",Z62)</f>
        <v/>
      </c>
      <c r="AB62" s="41" t="str">
        <f aca="false">IF(OR(AB$14="",$E62=""),"",AA62)</f>
        <v/>
      </c>
      <c r="AC62" s="41" t="str">
        <f aca="false">IF(OR(AC$14="",$E62=""),"",AB62)</f>
        <v/>
      </c>
      <c r="AD62" s="41" t="str">
        <f aca="false">IF(OR(AD$14="",$E61=""),"",AC62)</f>
        <v/>
      </c>
    </row>
    <row r="63" customFormat="false" ht="13.2" hidden="false" customHeight="false" outlineLevel="0" collapsed="false">
      <c r="D63" s="43" t="str">
        <f aca="false">IF(A63&lt;&gt;"","Planned","")</f>
        <v/>
      </c>
      <c r="F63" s="41" t="str">
        <f aca="false">IF(OR(F$14="",$E63=""),"",E63)</f>
        <v/>
      </c>
      <c r="G63" s="41" t="str">
        <f aca="false">IF(OR(G$14="",$E63=""),"",F63)</f>
        <v/>
      </c>
      <c r="H63" s="41" t="str">
        <f aca="false">IF(OR(H$14="",$E63=""),"",G63)</f>
        <v/>
      </c>
      <c r="I63" s="41" t="str">
        <f aca="false">IF(OR(I$14="",$E63=""),"",H63)</f>
        <v/>
      </c>
      <c r="J63" s="41" t="str">
        <f aca="false">IF(OR(J$14="",$E63=""),"",I63)</f>
        <v/>
      </c>
      <c r="K63" s="41" t="str">
        <f aca="false">IF(OR(K$14="",$E63=""),"",J63)</f>
        <v/>
      </c>
      <c r="L63" s="41" t="str">
        <f aca="false">IF(OR(L$14="",$E63=""),"",K63)</f>
        <v/>
      </c>
      <c r="M63" s="41" t="str">
        <f aca="false">IF(OR(M$14="",$E63=""),"",L63)</f>
        <v/>
      </c>
      <c r="N63" s="41" t="str">
        <f aca="false">IF(OR(N$14="",$E63=""),"",M63)</f>
        <v/>
      </c>
      <c r="O63" s="41" t="str">
        <f aca="false">IF(OR(O$14="",$E63=""),"",N63)</f>
        <v/>
      </c>
      <c r="P63" s="41" t="str">
        <f aca="false">IF(OR(P$14="",$E63=""),"",O63)</f>
        <v/>
      </c>
      <c r="Q63" s="41" t="str">
        <f aca="false">IF(OR(Q$14="",$E63=""),"",P63)</f>
        <v/>
      </c>
      <c r="R63" s="41" t="str">
        <f aca="false">IF(OR(R$14="",$E63=""),"",Q63)</f>
        <v/>
      </c>
      <c r="S63" s="41" t="str">
        <f aca="false">IF(OR(S$14="",$E63=""),"",R63)</f>
        <v/>
      </c>
      <c r="T63" s="41" t="str">
        <f aca="false">IF(OR(T$14="",$E63=""),"",S63)</f>
        <v/>
      </c>
      <c r="U63" s="41" t="str">
        <f aca="false">IF(OR(U$14="",$E63=""),"",T63)</f>
        <v/>
      </c>
      <c r="V63" s="41" t="str">
        <f aca="false">IF(OR(V$14="",$E63=""),"",U63)</f>
        <v/>
      </c>
      <c r="W63" s="41" t="str">
        <f aca="false">IF(OR(W$14="",$E63=""),"",V63)</f>
        <v/>
      </c>
      <c r="X63" s="41" t="str">
        <f aca="false">IF(OR(X$14="",$E63=""),"",W63)</f>
        <v/>
      </c>
      <c r="Y63" s="41" t="str">
        <f aca="false">IF(OR(Y$14="",$E63=""),"",X63)</f>
        <v/>
      </c>
      <c r="Z63" s="41" t="str">
        <f aca="false">IF(OR(Z$14="",$E63=""),"",Y63)</f>
        <v/>
      </c>
      <c r="AA63" s="41" t="str">
        <f aca="false">IF(OR(AA$14="",$E63=""),"",Z63)</f>
        <v/>
      </c>
      <c r="AB63" s="41" t="str">
        <f aca="false">IF(OR(AB$14="",$E63=""),"",AA63)</f>
        <v/>
      </c>
      <c r="AC63" s="41" t="str">
        <f aca="false">IF(OR(AC$14="",$E63=""),"",AB63)</f>
        <v/>
      </c>
      <c r="AD63" s="41" t="str">
        <f aca="false">IF(OR(AD$14="",$E62=""),"",AC63)</f>
        <v/>
      </c>
    </row>
    <row r="64" customFormat="false" ht="13.2" hidden="false" customHeight="false" outlineLevel="0" collapsed="false">
      <c r="D64" s="43" t="str">
        <f aca="false">IF(A64&lt;&gt;"","Planned","")</f>
        <v/>
      </c>
    </row>
  </sheetData>
  <conditionalFormatting sqref="A15:AD26 A43:AD58 A27:D27 S27:AD28 A41:K42 U29:AD42 A28:D40">
    <cfRule type="expression" priority="2" aboveAverage="0" equalAverage="0" bottom="0" percent="0" rank="0" text="" dxfId="0">
      <formula>$D15="Done"</formula>
    </cfRule>
    <cfRule type="expression" priority="3" aboveAverage="0" equalAverage="0" bottom="0" percent="0" rank="0" text="" dxfId="1">
      <formula>$D15="Ongoing"</formula>
    </cfRule>
  </conditionalFormatting>
  <conditionalFormatting sqref="L41:T42 R29:T40">
    <cfRule type="expression" priority="4" aboveAverage="0" equalAverage="0" bottom="0" percent="0" rank="0" text="" dxfId="0">
      <formula>$D29="Done"</formula>
    </cfRule>
    <cfRule type="expression" priority="5" aboveAverage="0" equalAverage="0" bottom="0" percent="0" rank="0" text="" dxfId="1">
      <formula>$D29="Ongoing"</formula>
    </cfRule>
  </conditionalFormatting>
  <conditionalFormatting sqref="E27:I39">
    <cfRule type="expression" priority="6" aboveAverage="0" equalAverage="0" bottom="0" percent="0" rank="0" text="" dxfId="0">
      <formula>$D27="Done"</formula>
    </cfRule>
    <cfRule type="expression" priority="7" aboveAverage="0" equalAverage="0" bottom="0" percent="0" rank="0" text="" dxfId="1">
      <formula>$D27="Ongoing"</formula>
    </cfRule>
  </conditionalFormatting>
  <conditionalFormatting sqref="L27:Q38">
    <cfRule type="expression" priority="8" aboveAverage="0" equalAverage="0" bottom="0" percent="0" rank="0" text="" dxfId="0">
      <formula>$D27="Done"</formula>
    </cfRule>
    <cfRule type="expression" priority="9" aboveAverage="0" equalAverage="0" bottom="0" percent="0" rank="0" text="" dxfId="1">
      <formula>$D27="Ongoing"</formula>
    </cfRule>
  </conditionalFormatting>
  <dataValidations count="1">
    <dataValidation allowBlank="true" operator="between" showDropDown="false" showErrorMessage="false" showInputMessage="false" sqref="D3:D8 D15:D64" type="list">
      <formula1>"Planned,Ongoing,Done"</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5.xml><?xml version="1.0" encoding="utf-8"?>
<worksheet xmlns="http://schemas.openxmlformats.org/spreadsheetml/2006/main" xmlns:r="http://schemas.openxmlformats.org/officeDocument/2006/relationships">
  <sheetPr filterMode="false">
    <pageSetUpPr fitToPage="false"/>
  </sheetPr>
  <dimension ref="A1:AD64"/>
  <sheetViews>
    <sheetView showFormulas="false" showGridLines="true" showRowColHeaders="true" showZeros="true" rightToLeft="false" tabSelected="true" showOutlineSymbols="true" defaultGridColor="true" view="normal" topLeftCell="A1" colorId="64" zoomScale="90" zoomScaleNormal="90" zoomScalePageLayoutView="100" workbookViewId="0">
      <pane xSplit="0" ySplit="14" topLeftCell="A15" activePane="bottomLeft" state="frozen"/>
      <selection pane="topLeft" activeCell="A1" activeCellId="0" sqref="A1"/>
      <selection pane="bottomLeft" activeCell="K24" activeCellId="0" sqref="K24"/>
    </sheetView>
  </sheetViews>
  <sheetFormatPr defaultRowHeight="13.2" zeroHeight="false" outlineLevelRow="0" outlineLevelCol="0"/>
  <cols>
    <col collapsed="false" customWidth="true" hidden="false" outlineLevel="0" max="1" min="1" style="0" width="38.44"/>
    <col collapsed="false" customWidth="true" hidden="false" outlineLevel="0" max="2" min="2" style="1" width="8.44"/>
    <col collapsed="false" customWidth="true" hidden="false" outlineLevel="0" max="3" min="3" style="0" width="13.66"/>
    <col collapsed="false" customWidth="true" hidden="false" outlineLevel="0" max="4" min="4" style="0" width="10.77"/>
    <col collapsed="false" customWidth="true" hidden="false" outlineLevel="0" max="5" min="5" style="1" width="6.44"/>
    <col collapsed="false" customWidth="true" hidden="false" outlineLevel="0" max="30" min="6" style="1" width="4.44"/>
    <col collapsed="false" customWidth="true" hidden="false" outlineLevel="0" max="1025" min="31" style="0" width="9"/>
  </cols>
  <sheetData>
    <row r="1" customFormat="false" ht="17.4" hidden="false" customHeight="false" outlineLevel="0" collapsed="false">
      <c r="A1" s="74" t="s">
        <v>132</v>
      </c>
      <c r="B1" s="75"/>
      <c r="E1" s="63"/>
      <c r="F1" s="63"/>
      <c r="G1" s="63"/>
      <c r="H1" s="63"/>
      <c r="I1" s="63"/>
      <c r="J1" s="63"/>
      <c r="K1" s="63"/>
      <c r="L1" s="63"/>
      <c r="M1" s="63"/>
      <c r="N1" s="63"/>
      <c r="O1" s="63"/>
      <c r="P1" s="63"/>
      <c r="Q1" s="63"/>
      <c r="R1" s="63"/>
      <c r="S1" s="63"/>
      <c r="T1" s="63"/>
      <c r="U1" s="63"/>
      <c r="V1" s="63"/>
      <c r="W1" s="63"/>
      <c r="X1" s="63"/>
      <c r="Y1" s="63"/>
      <c r="Z1" s="63"/>
      <c r="AA1" s="63"/>
      <c r="AB1" s="63"/>
      <c r="AC1" s="63"/>
      <c r="AD1" s="63"/>
    </row>
    <row r="2" customFormat="false" ht="13.2" hidden="false" customHeight="false" outlineLevel="0" collapsed="false">
      <c r="E2" s="63"/>
      <c r="F2" s="63"/>
      <c r="G2" s="63"/>
      <c r="H2" s="63"/>
      <c r="I2" s="63"/>
      <c r="J2" s="63"/>
      <c r="K2" s="63"/>
      <c r="L2" s="63"/>
      <c r="M2" s="63"/>
      <c r="N2" s="63"/>
      <c r="O2" s="63"/>
      <c r="P2" s="63"/>
      <c r="Q2" s="63"/>
      <c r="R2" s="63"/>
      <c r="S2" s="63"/>
      <c r="T2" s="63"/>
      <c r="U2" s="63"/>
      <c r="V2" s="63"/>
      <c r="W2" s="63"/>
      <c r="X2" s="63"/>
      <c r="Y2" s="63"/>
      <c r="Z2" s="63"/>
      <c r="AA2" s="63"/>
      <c r="AB2" s="63"/>
      <c r="AC2" s="63"/>
      <c r="AD2" s="63"/>
    </row>
    <row r="9" customFormat="false" ht="13.2" hidden="false" customHeight="false" outlineLevel="0" collapsed="false">
      <c r="A9" s="76" t="s">
        <v>110</v>
      </c>
      <c r="B9" s="1" t="n">
        <v>14</v>
      </c>
      <c r="C9" s="76"/>
      <c r="D9" s="77"/>
      <c r="E9" s="78" t="s">
        <v>111</v>
      </c>
      <c r="F9" s="78" t="s">
        <v>112</v>
      </c>
      <c r="G9" s="78"/>
      <c r="H9" s="78"/>
      <c r="I9" s="78"/>
      <c r="J9" s="78"/>
      <c r="K9" s="78"/>
      <c r="L9" s="78"/>
      <c r="M9" s="79"/>
      <c r="N9" s="79"/>
      <c r="O9" s="79"/>
      <c r="P9" s="79"/>
      <c r="Q9" s="79"/>
      <c r="R9" s="79"/>
      <c r="S9" s="79"/>
      <c r="T9" s="79"/>
      <c r="U9" s="79"/>
      <c r="V9" s="79"/>
      <c r="W9" s="79"/>
      <c r="X9" s="79"/>
      <c r="Y9" s="79"/>
      <c r="Z9" s="79"/>
      <c r="AA9" s="79"/>
      <c r="AB9" s="79"/>
      <c r="AC9" s="79"/>
      <c r="AD9" s="79"/>
    </row>
    <row r="10" customFormat="false" ht="13.2" hidden="false" customHeight="false" outlineLevel="0" collapsed="false">
      <c r="A10" s="76" t="s">
        <v>113</v>
      </c>
      <c r="B10" s="1" t="n">
        <v>14</v>
      </c>
      <c r="C10" s="76" t="s">
        <v>3</v>
      </c>
      <c r="D10" s="76" t="s">
        <v>114</v>
      </c>
      <c r="E10" s="80" t="n">
        <f aca="true">SUM(OFFSET(E14,1,0,TaskRows,1))</f>
        <v>44</v>
      </c>
      <c r="F10" s="80" t="n">
        <f aca="true">IF(AND(SUM(OFFSET(F14,1,0,TaskRows,1))=0),0,SUM(OFFSET(F14,1,0,TaskRows,1)))</f>
        <v>44</v>
      </c>
      <c r="G10" s="80" t="n">
        <f aca="true">IF(AND(SUM(OFFSET(G14,1,0,TaskRows,1))=0),"",SUM(OFFSET(G14,1,0,TaskRows,1)))</f>
        <v>41</v>
      </c>
      <c r="H10" s="80" t="n">
        <f aca="true">IF(AND(SUM(OFFSET(H14,1,0,TaskRows,1))=0),"",SUM(OFFSET(H14,1,0,TaskRows,1)))</f>
        <v>39</v>
      </c>
      <c r="I10" s="80" t="n">
        <f aca="true">IF(AND(SUM(OFFSET(I14,1,0,TaskRows,1))=0),"",SUM(OFFSET(I14,1,0,TaskRows,1)))</f>
        <v>34</v>
      </c>
      <c r="J10" s="80" t="n">
        <f aca="true">IF(AND(SUM(OFFSET(J14,1,0,TaskRows,1))=0),"",SUM(OFFSET(J14,1,0,TaskRows,1)))</f>
        <v>29</v>
      </c>
      <c r="K10" s="80" t="n">
        <f aca="true">IF(AND(SUM(OFFSET(K14,1,0,TaskRows,1))=0),"",SUM(OFFSET(K14,1,0,TaskRows,1)))</f>
        <v>21</v>
      </c>
      <c r="L10" s="80" t="n">
        <f aca="true">IF(AND(SUM(OFFSET(L14,1,0,TaskRows,1))=0),"",SUM(OFFSET(L14,1,0,TaskRows,1)))</f>
        <v>16</v>
      </c>
      <c r="M10" s="80" t="n">
        <f aca="true">IF(AND(SUM(OFFSET(M14,1,0,TaskRows,1))=0),"",SUM(OFFSET(M14,1,0,TaskRows,1)))</f>
        <v>7</v>
      </c>
      <c r="N10" s="80" t="n">
        <v>0</v>
      </c>
      <c r="O10" s="80" t="n">
        <v>0</v>
      </c>
      <c r="P10" s="80" t="n">
        <v>0</v>
      </c>
      <c r="Q10" s="80" t="n">
        <v>0</v>
      </c>
      <c r="R10" s="80" t="n">
        <v>0</v>
      </c>
      <c r="S10" s="80" t="n">
        <v>0</v>
      </c>
      <c r="T10" s="80" t="str">
        <f aca="true">IF(AND(SUM(OFFSET(T14,1,0,TaskRows,1))=0),"",SUM(OFFSET(T14,1,0,TaskRows,1)))</f>
        <v/>
      </c>
      <c r="U10" s="80" t="str">
        <f aca="true">IF(AND(SUM(OFFSET(U14,1,0,TaskRows,1))=0),"",SUM(OFFSET(U14,1,0,TaskRows,1)))</f>
        <v/>
      </c>
      <c r="V10" s="80" t="str">
        <f aca="true">IF(AND(SUM(OFFSET(V14,1,0,TaskRows,1))=0),"",SUM(OFFSET(V14,1,0,TaskRows,1)))</f>
        <v/>
      </c>
      <c r="W10" s="80" t="str">
        <f aca="true">IF(AND(SUM(OFFSET(W14,1,0,TaskRows,1))=0),"",SUM(OFFSET(W14,1,0,TaskRows,1)))</f>
        <v/>
      </c>
      <c r="X10" s="80" t="str">
        <f aca="true">IF(AND(SUM(OFFSET(X14,1,0,TaskRows,1))=0),"",SUM(OFFSET(X14,1,0,TaskRows,1)))</f>
        <v/>
      </c>
      <c r="Y10" s="80" t="str">
        <f aca="true">IF(AND(SUM(OFFSET(Y14,1,0,TaskRows,1))=0),"",SUM(OFFSET(Y14,1,0,TaskRows,1)))</f>
        <v/>
      </c>
      <c r="Z10" s="80" t="str">
        <f aca="true">IF(AND(SUM(OFFSET(Z14,1,0,TaskRows,1))=0),"",SUM(OFFSET(Z14,1,0,TaskRows,1)))</f>
        <v/>
      </c>
      <c r="AA10" s="80" t="str">
        <f aca="true">IF(AND(SUM(OFFSET(AA14,1,0,TaskRows,1))=0),"",SUM(OFFSET(AA14,1,0,TaskRows,1)))</f>
        <v/>
      </c>
      <c r="AB10" s="80" t="str">
        <f aca="true">IF(AND(SUM(OFFSET(AB14,1,0,TaskRows,1))=0),"",SUM(OFFSET(AB14,1,0,TaskRows,1)))</f>
        <v/>
      </c>
      <c r="AC10" s="80" t="str">
        <f aca="true">IF(AND(SUM(OFFSET(AC14,1,0,TaskRows,1))=0),"",SUM(OFFSET(AC14,1,0,TaskRows,1)))</f>
        <v/>
      </c>
      <c r="AD10" s="80" t="str">
        <f aca="true">IF(AND(SUM(OFFSET(AD14,1,0,TaskRows,1))=0),"",SUM(OFFSET(AD14,1,0,TaskRows,1)))</f>
        <v/>
      </c>
    </row>
    <row r="11" customFormat="false" ht="13.2" hidden="true" customHeight="false" outlineLevel="0" collapsed="false">
      <c r="A11" s="0" t="s">
        <v>115</v>
      </c>
      <c r="B11" s="1" t="n">
        <f aca="false">IF(COUNTA(A15:A242)=0,1,COUNTA(A15:A242))</f>
        <v>7</v>
      </c>
      <c r="C11" s="0" t="s">
        <v>116</v>
      </c>
      <c r="D11" s="1" t="n">
        <f aca="false">IF(COUNTIF(F10:AD10,"&gt;0")=0,1,COUNTIF(F10:AD10,"&gt;0"))</f>
        <v>8</v>
      </c>
      <c r="F11" s="1" t="n">
        <f aca="false">IF(F14="","",$E10-$E10/($B9-1)*(F14-1))</f>
        <v>44</v>
      </c>
      <c r="G11" s="1" t="n">
        <f aca="false">IF(G14="","",TotalEffort-TotalEffort/(ImplementationDays)*(G14-1))</f>
        <v>40.8571428571429</v>
      </c>
      <c r="H11" s="1" t="n">
        <f aca="false">IF(H14="","",TotalEffort-TotalEffort/(ImplementationDays)*(H14-1))</f>
        <v>37.7142857142857</v>
      </c>
      <c r="I11" s="1" t="n">
        <f aca="false">IF(I14="","",TotalEffort-TotalEffort/(ImplementationDays)*(I14-1))</f>
        <v>34.5714285714286</v>
      </c>
      <c r="J11" s="1" t="n">
        <f aca="false">IF(J14="","",TotalEffort-TotalEffort/(ImplementationDays)*(J14-1))</f>
        <v>31.4285714285714</v>
      </c>
      <c r="K11" s="1" t="n">
        <f aca="false">IF(K14="","",TotalEffort-TotalEffort/(ImplementationDays)*(K14-1))</f>
        <v>28.2857142857143</v>
      </c>
      <c r="L11" s="1" t="n">
        <f aca="false">IF(L14="","",TotalEffort-TotalEffort/(ImplementationDays)*(L14-1))</f>
        <v>25.1428571428571</v>
      </c>
      <c r="M11" s="1" t="n">
        <f aca="false">IF(M14="","",TotalEffort-TotalEffort/(ImplementationDays)*(M14-1))</f>
        <v>22</v>
      </c>
      <c r="N11" s="1" t="n">
        <f aca="false">IF(N14="","",TotalEffort-TotalEffort/(ImplementationDays)*(N14-1))</f>
        <v>18.8571428571429</v>
      </c>
      <c r="O11" s="1" t="n">
        <f aca="false">IF(O14="","",TotalEffort-TotalEffort/(ImplementationDays)*(O14-1))</f>
        <v>15.7142857142857</v>
      </c>
      <c r="P11" s="1" t="n">
        <f aca="false">IF(P14="","",TotalEffort-TotalEffort/(ImplementationDays)*(P14-1))</f>
        <v>12.5714285714286</v>
      </c>
      <c r="Q11" s="1" t="n">
        <f aca="false">IF(Q14="","",TotalEffort-TotalEffort/(ImplementationDays)*(Q14-1))</f>
        <v>9.42857142857143</v>
      </c>
      <c r="R11" s="1" t="n">
        <f aca="false">IF(R14="","",TotalEffort-TotalEffort/(ImplementationDays)*(R14-1))</f>
        <v>6.28571428571429</v>
      </c>
      <c r="S11" s="1" t="n">
        <f aca="false">IF(S14="","",TotalEffort-TotalEffort/(ImplementationDays)*(S14-1))</f>
        <v>3.14285714285715</v>
      </c>
      <c r="T11" s="1" t="str">
        <f aca="false">IF(T14="","",TotalEffort-TotalEffort/(ImplementationDays)*(T14-1))</f>
        <v/>
      </c>
      <c r="U11" s="1" t="str">
        <f aca="false">IF(U14="","",TotalEffort-TotalEffort/(ImplementationDays)*(U14-1))</f>
        <v/>
      </c>
      <c r="V11" s="1" t="str">
        <f aca="false">IF(V14="","",TotalEffort-TotalEffort/(ImplementationDays)*(V14-1))</f>
        <v/>
      </c>
      <c r="W11" s="1" t="str">
        <f aca="false">IF(W14="","",TotalEffort-TotalEffort/(ImplementationDays)*(W14-1))</f>
        <v/>
      </c>
      <c r="X11" s="1" t="str">
        <f aca="false">IF(X14="","",TotalEffort-TotalEffort/(ImplementationDays)*(X14-1))</f>
        <v/>
      </c>
      <c r="Y11" s="1" t="str">
        <f aca="false">IF(Y14="","",TotalEffort-TotalEffort/(ImplementationDays)*(Y14-1))</f>
        <v/>
      </c>
      <c r="Z11" s="1" t="str">
        <f aca="false">IF(Z14="","",TotalEffort-TotalEffort/(ImplementationDays)*(Z14-1))</f>
        <v/>
      </c>
      <c r="AA11" s="1" t="str">
        <f aca="false">IF(AA14="","",TotalEffort-TotalEffort/(ImplementationDays)*(AA14-1))</f>
        <v/>
      </c>
      <c r="AB11" s="1" t="str">
        <f aca="false">IF(AB14="","",TotalEffort-TotalEffort/(ImplementationDays)*(AB14-1))</f>
        <v/>
      </c>
      <c r="AC11" s="1" t="str">
        <f aca="false">IF(AC14="","",TotalEffort-TotalEffort/(ImplementationDays)*(AC14-1))</f>
        <v/>
      </c>
      <c r="AD11" s="1" t="str">
        <f aca="false">IF(AD14="","",TotalEffort-TotalEffort/(ImplementationDays)*(AD14-1))</f>
        <v/>
      </c>
    </row>
    <row r="12" customFormat="false" ht="13.2" hidden="true" customHeight="false" outlineLevel="0" collapsed="false">
      <c r="A12" s="54" t="s">
        <v>117</v>
      </c>
      <c r="C12" s="0" t="s">
        <v>81</v>
      </c>
      <c r="D12" s="1"/>
      <c r="F12" s="1" t="n">
        <f aca="true">IF(TREND(OFFSET($F10,0,DoneDays-TrendDays,1,TrendDays),OFFSET($F13,0,DoneDays-TrendDays,1,TrendDays),F13)&lt;0,"",TREND(OFFSET($F10,0,DoneDays-TrendDays,1,TrendDays),OFFSET($F13,0,DoneDays-TrendDays,1,TrendDays),F13))</f>
        <v>47.3333333333333</v>
      </c>
      <c r="G12" s="1" t="n">
        <f aca="true">IF(TREND(OFFSET($F10,0,DoneDays-TrendDays,1,TrendDays),OFFSET($F13,0,DoneDays-TrendDays,1,TrendDays),G13)&lt;0,"",TREND(OFFSET($F10,0,DoneDays-TrendDays,1,TrendDays),OFFSET($F13,0,DoneDays-TrendDays,1,TrendDays),G13))</f>
        <v>42.0595238095238</v>
      </c>
      <c r="H12" s="1" t="n">
        <f aca="true">IF(TREND(OFFSET($F10,0,DoneDays-TrendDays,1,TrendDays),OFFSET($F13,0,DoneDays-TrendDays,1,TrendDays),H13)&lt;0,"",TREND(OFFSET($F10,0,DoneDays-TrendDays,1,TrendDays),OFFSET($F13,0,DoneDays-TrendDays,1,TrendDays),H13))</f>
        <v>36.7857142857143</v>
      </c>
      <c r="I12" s="1" t="n">
        <f aca="true">IF(TREND(OFFSET($F10,0,DoneDays-TrendDays,1,TrendDays),OFFSET($F13,0,DoneDays-TrendDays,1,TrendDays),I13)&lt;0,"",TREND(OFFSET($F10,0,DoneDays-TrendDays,1,TrendDays),OFFSET($F13,0,DoneDays-TrendDays,1,TrendDays),I13))</f>
        <v>31.5119047619048</v>
      </c>
      <c r="J12" s="1" t="n">
        <f aca="true">IF(TREND(OFFSET($F10,0,DoneDays-TrendDays,1,TrendDays),OFFSET($F13,0,DoneDays-TrendDays,1,TrendDays),J13)&lt;0,"",TREND(OFFSET($F10,0,DoneDays-TrendDays,1,TrendDays),OFFSET($F13,0,DoneDays-TrendDays,1,TrendDays),J13))</f>
        <v>26.2380952380952</v>
      </c>
      <c r="K12" s="1" t="n">
        <f aca="true">IF(TREND(OFFSET($F10,0,DoneDays-TrendDays,1,TrendDays),OFFSET($F13,0,DoneDays-TrendDays,1,TrendDays),K13)&lt;0,"",TREND(OFFSET($F10,0,DoneDays-TrendDays,1,TrendDays),OFFSET($F13,0,DoneDays-TrendDays,1,TrendDays),K13))</f>
        <v>20.9642857142857</v>
      </c>
      <c r="L12" s="1" t="n">
        <f aca="true">IF(TREND(OFFSET($F10,0,DoneDays-TrendDays,1,TrendDays),OFFSET($F13,0,DoneDays-TrendDays,1,TrendDays),L13)&lt;0,"",TREND(OFFSET($F10,0,DoneDays-TrendDays,1,TrendDays),OFFSET($F13,0,DoneDays-TrendDays,1,TrendDays),L13))</f>
        <v>15.6904761904762</v>
      </c>
      <c r="M12" s="1" t="n">
        <f aca="true">IF(TREND(OFFSET($F10,0,DoneDays-TrendDays,1,TrendDays),OFFSET($F13,0,DoneDays-TrendDays,1,TrendDays),M13)&lt;0,"",TREND(OFFSET($F10,0,DoneDays-TrendDays,1,TrendDays),OFFSET($F13,0,DoneDays-TrendDays,1,TrendDays),M13))</f>
        <v>10.4166666666667</v>
      </c>
      <c r="N12" s="1" t="n">
        <f aca="true">IF(TREND(OFFSET($F10,0,DoneDays-TrendDays,1,TrendDays),OFFSET($F13,0,DoneDays-TrendDays,1,TrendDays),N13)&lt;0,"",TREND(OFFSET($F10,0,DoneDays-TrendDays,1,TrendDays),OFFSET($F13,0,DoneDays-TrendDays,1,TrendDays),N13))</f>
        <v>5.14285714285715</v>
      </c>
      <c r="O12" s="1" t="str">
        <f aca="true">IF(TREND(OFFSET($F10,0,DoneDays-TrendDays,1,TrendDays),OFFSET($F13,0,DoneDays-TrendDays,1,TrendDays),O13)&lt;0,"",TREND(OFFSET($F10,0,DoneDays-TrendDays,1,TrendDays),OFFSET($F13,0,DoneDays-TrendDays,1,TrendDays),O13))</f>
        <v/>
      </c>
      <c r="P12" s="1" t="str">
        <f aca="true">IF(TREND(OFFSET($F10,0,DoneDays-TrendDays,1,TrendDays),OFFSET($F13,0,DoneDays-TrendDays,1,TrendDays),P13)&lt;0,"",TREND(OFFSET($F10,0,DoneDays-TrendDays,1,TrendDays),OFFSET($F13,0,DoneDays-TrendDays,1,TrendDays),P13))</f>
        <v/>
      </c>
      <c r="Q12" s="1" t="str">
        <f aca="true">IF(TREND(OFFSET($F10,0,DoneDays-TrendDays,1,TrendDays),OFFSET($F13,0,DoneDays-TrendDays,1,TrendDays),Q13)&lt;0,"",TREND(OFFSET($F10,0,DoneDays-TrendDays,1,TrendDays),OFFSET($F13,0,DoneDays-TrendDays,1,TrendDays),Q13))</f>
        <v/>
      </c>
      <c r="R12" s="1" t="str">
        <f aca="true">IF(TREND(OFFSET($F10,0,DoneDays-TrendDays,1,TrendDays),OFFSET($F13,0,DoneDays-TrendDays,1,TrendDays),R13)&lt;0,"",TREND(OFFSET($F10,0,DoneDays-TrendDays,1,TrendDays),OFFSET($F13,0,DoneDays-TrendDays,1,TrendDays),R13))</f>
        <v/>
      </c>
      <c r="S12" s="1" t="str">
        <f aca="true">IF(TREND(OFFSET($F10,0,DoneDays-TrendDays,1,TrendDays),OFFSET($F13,0,DoneDays-TrendDays,1,TrendDays),S13)&lt;0,"",TREND(OFFSET($F10,0,DoneDays-TrendDays,1,TrendDays),OFFSET($F13,0,DoneDays-TrendDays,1,TrendDays),S13))</f>
        <v/>
      </c>
      <c r="T12" s="1" t="str">
        <f aca="true">IF(TREND(OFFSET($F10,0,DoneDays-TrendDays,1,TrendDays),OFFSET($F13,0,DoneDays-TrendDays,1,TrendDays),T13)&lt;0,"",TREND(OFFSET($F10,0,DoneDays-TrendDays,1,TrendDays),OFFSET($F13,0,DoneDays-TrendDays,1,TrendDays),T13))</f>
        <v/>
      </c>
      <c r="U12" s="1" t="str">
        <f aca="true">IF(TREND(OFFSET($F10,0,DoneDays-TrendDays,1,TrendDays),OFFSET($F13,0,DoneDays-TrendDays,1,TrendDays),U13)&lt;0,"",TREND(OFFSET($F10,0,DoneDays-TrendDays,1,TrendDays),OFFSET($F13,0,DoneDays-TrendDays,1,TrendDays),U13))</f>
        <v/>
      </c>
      <c r="V12" s="1" t="str">
        <f aca="true">IF(TREND(OFFSET($F10,0,DoneDays-TrendDays,1,TrendDays),OFFSET($F13,0,DoneDays-TrendDays,1,TrendDays),V13)&lt;0,"",TREND(OFFSET($F10,0,DoneDays-TrendDays,1,TrendDays),OFFSET($F13,0,DoneDays-TrendDays,1,TrendDays),V13))</f>
        <v/>
      </c>
      <c r="W12" s="1" t="str">
        <f aca="true">IF(TREND(OFFSET($F10,0,DoneDays-TrendDays,1,TrendDays),OFFSET($F13,0,DoneDays-TrendDays,1,TrendDays),W13)&lt;0,"",TREND(OFFSET($F10,0,DoneDays-TrendDays,1,TrendDays),OFFSET($F13,0,DoneDays-TrendDays,1,TrendDays),W13))</f>
        <v/>
      </c>
      <c r="X12" s="1" t="str">
        <f aca="true">IF(TREND(OFFSET($F10,0,DoneDays-TrendDays,1,TrendDays),OFFSET($F13,0,DoneDays-TrendDays,1,TrendDays),X13)&lt;0,"",TREND(OFFSET($F10,0,DoneDays-TrendDays,1,TrendDays),OFFSET($F13,0,DoneDays-TrendDays,1,TrendDays),X13))</f>
        <v/>
      </c>
      <c r="Y12" s="1" t="str">
        <f aca="true">IF(TREND(OFFSET($F10,0,DoneDays-TrendDays,1,TrendDays),OFFSET($F13,0,DoneDays-TrendDays,1,TrendDays),Y13)&lt;0,"",TREND(OFFSET($F10,0,DoneDays-TrendDays,1,TrendDays),OFFSET($F13,0,DoneDays-TrendDays,1,TrendDays),Y13))</f>
        <v/>
      </c>
      <c r="Z12" s="1" t="str">
        <f aca="true">IF(TREND(OFFSET($F10,0,DoneDays-TrendDays,1,TrendDays),OFFSET($F13,0,DoneDays-TrendDays,1,TrendDays),Z13)&lt;0,"",TREND(OFFSET($F10,0,DoneDays-TrendDays,1,TrendDays),OFFSET($F13,0,DoneDays-TrendDays,1,TrendDays),Z13))</f>
        <v/>
      </c>
      <c r="AA12" s="1" t="str">
        <f aca="true">IF(TREND(OFFSET($F10,0,DoneDays-TrendDays,1,TrendDays),OFFSET($F13,0,DoneDays-TrendDays,1,TrendDays),AA13)&lt;0,"",TREND(OFFSET($F10,0,DoneDays-TrendDays,1,TrendDays),OFFSET($F13,0,DoneDays-TrendDays,1,TrendDays),AA13))</f>
        <v/>
      </c>
      <c r="AB12" s="1" t="str">
        <f aca="true">IF(TREND(OFFSET($F10,0,DoneDays-TrendDays,1,TrendDays),OFFSET($F13,0,DoneDays-TrendDays,1,TrendDays),AB13)&lt;0,"",TREND(OFFSET($F10,0,DoneDays-TrendDays,1,TrendDays),OFFSET($F13,0,DoneDays-TrendDays,1,TrendDays),AB13))</f>
        <v/>
      </c>
      <c r="AC12" s="1" t="str">
        <f aca="true">IF(TREND(OFFSET($F10,0,DoneDays-TrendDays,1,TrendDays),OFFSET($F13,0,DoneDays-TrendDays,1,TrendDays),AC13)&lt;0,"",TREND(OFFSET($F10,0,DoneDays-TrendDays,1,TrendDays),OFFSET($F13,0,DoneDays-TrendDays,1,TrendDays),AC13))</f>
        <v/>
      </c>
      <c r="AD12" s="1" t="str">
        <f aca="true">IF(TREND(OFFSET($F10,0,DoneDays-TrendDays,1,TrendDays),OFFSET($F13,0,DoneDays-TrendDays,1,TrendDays),AD13)&lt;0,"",TREND(OFFSET($F10,0,DoneDays-TrendDays,1,TrendDays),OFFSET($F13,0,DoneDays-TrendDays,1,TrendDays),AD13))</f>
        <v/>
      </c>
    </row>
    <row r="13" customFormat="false" ht="13.2" hidden="true" customHeight="false" outlineLevel="0" collapsed="false">
      <c r="A13" s="54" t="s">
        <v>118</v>
      </c>
      <c r="C13" s="0" t="s">
        <v>119</v>
      </c>
      <c r="D13" s="1" t="n">
        <f aca="false">IF(DoneDays&gt;B10,B10,DoneDays)</f>
        <v>8</v>
      </c>
      <c r="F13" s="1" t="n">
        <f aca="false">IF(DoneDays&gt;E13,E13+1,"")</f>
        <v>1</v>
      </c>
      <c r="G13" s="1" t="n">
        <v>2</v>
      </c>
      <c r="H13" s="1" t="n">
        <v>3</v>
      </c>
      <c r="I13" s="1" t="n">
        <v>4</v>
      </c>
      <c r="J13" s="1" t="n">
        <v>5</v>
      </c>
      <c r="K13" s="1" t="n">
        <v>6</v>
      </c>
      <c r="L13" s="1" t="n">
        <v>7</v>
      </c>
      <c r="M13" s="1" t="n">
        <v>8</v>
      </c>
      <c r="N13" s="1" t="n">
        <v>9</v>
      </c>
      <c r="O13" s="1" t="n">
        <v>10</v>
      </c>
      <c r="P13" s="1" t="n">
        <v>11</v>
      </c>
      <c r="Q13" s="1" t="n">
        <v>12</v>
      </c>
      <c r="R13" s="1" t="n">
        <v>13</v>
      </c>
      <c r="S13" s="1" t="n">
        <v>14</v>
      </c>
      <c r="T13" s="1" t="n">
        <v>15</v>
      </c>
      <c r="U13" s="1" t="n">
        <v>16</v>
      </c>
      <c r="V13" s="1" t="n">
        <v>17</v>
      </c>
      <c r="W13" s="1" t="n">
        <v>18</v>
      </c>
      <c r="X13" s="1" t="n">
        <v>19</v>
      </c>
      <c r="Y13" s="1" t="n">
        <v>20</v>
      </c>
      <c r="Z13" s="1" t="n">
        <v>21</v>
      </c>
      <c r="AA13" s="1" t="n">
        <v>22</v>
      </c>
      <c r="AB13" s="1" t="n">
        <v>23</v>
      </c>
      <c r="AC13" s="1" t="n">
        <v>24</v>
      </c>
      <c r="AD13" s="1" t="n">
        <v>25</v>
      </c>
    </row>
    <row r="14" customFormat="false" ht="13.2" hidden="false" customHeight="false" outlineLevel="0" collapsed="false">
      <c r="A14" s="76" t="s">
        <v>120</v>
      </c>
      <c r="B14" s="81" t="s">
        <v>20</v>
      </c>
      <c r="C14" s="76" t="s">
        <v>121</v>
      </c>
      <c r="D14" s="76" t="s">
        <v>6</v>
      </c>
      <c r="E14" s="81" t="s">
        <v>122</v>
      </c>
      <c r="F14" s="81" t="n">
        <v>1</v>
      </c>
      <c r="G14" s="81" t="n">
        <f aca="false">IF($B$9&gt;F14,F14+1,"")</f>
        <v>2</v>
      </c>
      <c r="H14" s="81" t="n">
        <f aca="false">IF($B$9&gt;G14,G14+1,"")</f>
        <v>3</v>
      </c>
      <c r="I14" s="81" t="n">
        <f aca="false">IF($B$9&gt;H14,H14+1,"")</f>
        <v>4</v>
      </c>
      <c r="J14" s="81" t="n">
        <f aca="false">IF($B$9&gt;I14,I14+1,"")</f>
        <v>5</v>
      </c>
      <c r="K14" s="81" t="n">
        <f aca="false">IF($B$9&gt;J14,J14+1,"")</f>
        <v>6</v>
      </c>
      <c r="L14" s="81" t="n">
        <f aca="false">IF($B$9&gt;K14,K14+1,"")</f>
        <v>7</v>
      </c>
      <c r="M14" s="81" t="n">
        <f aca="false">IF($B$9&gt;L14,L14+1,"")</f>
        <v>8</v>
      </c>
      <c r="N14" s="81" t="n">
        <f aca="false">IF($B$9&gt;M14,M14+1,"")</f>
        <v>9</v>
      </c>
      <c r="O14" s="81" t="n">
        <f aca="false">IF($B$9&gt;N14,N14+1,"")</f>
        <v>10</v>
      </c>
      <c r="P14" s="81" t="n">
        <f aca="false">IF($B$9&gt;O14,O14+1,"")</f>
        <v>11</v>
      </c>
      <c r="Q14" s="81" t="n">
        <f aca="false">IF($B$9&gt;P14,P14+1,"")</f>
        <v>12</v>
      </c>
      <c r="R14" s="81" t="n">
        <f aca="false">IF($B$9&gt;Q14,Q14+1,"")</f>
        <v>13</v>
      </c>
      <c r="S14" s="81" t="n">
        <f aca="false">IF($B$9&gt;R14,R14+1,"")</f>
        <v>14</v>
      </c>
      <c r="T14" s="81" t="str">
        <f aca="false">IF($B$9&gt;S14,S14+1,"")</f>
        <v/>
      </c>
      <c r="U14" s="81" t="str">
        <f aca="false">IF($B$9&gt;T14,T14+1,"")</f>
        <v/>
      </c>
      <c r="V14" s="81" t="str">
        <f aca="false">IF($B$9&gt;U14,U14+1,"")</f>
        <v/>
      </c>
      <c r="W14" s="81" t="str">
        <f aca="false">IF($B$9&gt;V14,V14+1,"")</f>
        <v/>
      </c>
      <c r="X14" s="81" t="str">
        <f aca="false">IF($B$9&gt;W14,W14+1,"")</f>
        <v/>
      </c>
      <c r="Y14" s="81" t="str">
        <f aca="false">IF($B$9&gt;X14,X14+1,"")</f>
        <v/>
      </c>
      <c r="Z14" s="81" t="str">
        <f aca="false">IF($B$9&gt;Y14,Y14+1,"")</f>
        <v/>
      </c>
      <c r="AA14" s="81" t="str">
        <f aca="false">IF($B$9&gt;Z14,Z14+1,"")</f>
        <v/>
      </c>
      <c r="AB14" s="81" t="str">
        <f aca="false">IF($B$9&gt;AA14,AA14+1,"")</f>
        <v/>
      </c>
      <c r="AC14" s="81" t="str">
        <f aca="false">IF($B$9&gt;AB14,AB14+1,"")</f>
        <v/>
      </c>
      <c r="AD14" s="81" t="str">
        <f aca="false">IF($B$9&gt;AC14,AC14+1,"")</f>
        <v/>
      </c>
    </row>
    <row r="15" customFormat="false" ht="13.2" hidden="false" customHeight="false" outlineLevel="0" collapsed="false">
      <c r="A15" s="72" t="s">
        <v>26</v>
      </c>
      <c r="B15" s="1" t="n">
        <v>2</v>
      </c>
      <c r="C15" s="72" t="s">
        <v>133</v>
      </c>
      <c r="D15" s="0" t="str">
        <f aca="false">IF(A15&lt;&gt;"","Planned","")</f>
        <v>Planned</v>
      </c>
      <c r="E15" s="1" t="n">
        <v>15</v>
      </c>
      <c r="F15" s="1" t="n">
        <f aca="false">IF(OR(F$14="",$E15=""),"",E15)</f>
        <v>15</v>
      </c>
      <c r="G15" s="1" t="n">
        <v>13</v>
      </c>
      <c r="H15" s="1" t="n">
        <v>13</v>
      </c>
      <c r="I15" s="1" t="n">
        <v>11</v>
      </c>
      <c r="J15" s="1" t="n">
        <v>11</v>
      </c>
      <c r="K15" s="1" t="n">
        <v>9</v>
      </c>
      <c r="L15" s="1" t="n">
        <v>9</v>
      </c>
      <c r="M15" s="1" t="n">
        <v>6</v>
      </c>
      <c r="N15" s="1" t="n">
        <v>6</v>
      </c>
      <c r="O15" s="1" t="n">
        <v>3</v>
      </c>
      <c r="P15" s="1" t="n">
        <v>3</v>
      </c>
      <c r="Q15" s="1" t="n">
        <v>0</v>
      </c>
      <c r="R15" s="1" t="n">
        <v>0</v>
      </c>
      <c r="S15" s="1" t="n">
        <v>0</v>
      </c>
    </row>
    <row r="16" customFormat="false" ht="13.2" hidden="false" customHeight="false" outlineLevel="0" collapsed="false">
      <c r="A16" s="72" t="s">
        <v>32</v>
      </c>
      <c r="B16" s="1" t="n">
        <v>5</v>
      </c>
      <c r="C16" s="72" t="s">
        <v>134</v>
      </c>
      <c r="D16" s="0" t="str">
        <f aca="false">IF(A16&lt;&gt;"","Planned","")</f>
        <v>Planned</v>
      </c>
      <c r="E16" s="1" t="n">
        <v>5</v>
      </c>
      <c r="F16" s="1" t="n">
        <f aca="false">IF(OR(F$14="",$E16=""),"",E16)</f>
        <v>5</v>
      </c>
      <c r="G16" s="1" t="n">
        <v>5</v>
      </c>
      <c r="H16" s="1" t="n">
        <v>3</v>
      </c>
      <c r="I16" s="1" t="n">
        <v>3</v>
      </c>
      <c r="J16" s="1" t="n">
        <v>1</v>
      </c>
      <c r="K16" s="1" t="n">
        <v>1</v>
      </c>
      <c r="L16" s="1" t="n">
        <v>1</v>
      </c>
      <c r="M16" s="1" t="n">
        <v>0</v>
      </c>
      <c r="N16" s="1" t="n">
        <v>0</v>
      </c>
      <c r="O16" s="1" t="n">
        <v>0</v>
      </c>
      <c r="P16" s="1" t="n">
        <v>0</v>
      </c>
      <c r="Q16" s="1" t="n">
        <v>0</v>
      </c>
      <c r="R16" s="1" t="n">
        <v>0</v>
      </c>
      <c r="S16" s="1" t="n">
        <v>0</v>
      </c>
      <c r="AC16" s="1" t="str">
        <f aca="false">IF(OR(AC$14="",$E16=""),"",AB16)</f>
        <v/>
      </c>
      <c r="AD16" s="1" t="str">
        <f aca="false">IF(OR(AD$14="",$E16=""),"",AC16)</f>
        <v/>
      </c>
    </row>
    <row r="17" customFormat="false" ht="13.2" hidden="false" customHeight="false" outlineLevel="0" collapsed="false">
      <c r="A17" s="72" t="s">
        <v>42</v>
      </c>
      <c r="B17" s="1" t="n">
        <v>10</v>
      </c>
      <c r="C17" s="72" t="s">
        <v>135</v>
      </c>
      <c r="D17" s="0" t="str">
        <f aca="false">IF(A17&lt;&gt;"","Planned","")</f>
        <v>Planned</v>
      </c>
      <c r="E17" s="1" t="n">
        <v>8</v>
      </c>
      <c r="F17" s="1" t="n">
        <f aca="false">IF(OR(F$14="",$E17=""),"",E17)</f>
        <v>8</v>
      </c>
      <c r="G17" s="1" t="n">
        <v>8</v>
      </c>
      <c r="H17" s="1" t="n">
        <v>8</v>
      </c>
      <c r="I17" s="1" t="n">
        <v>5</v>
      </c>
      <c r="J17" s="1" t="n">
        <v>4</v>
      </c>
      <c r="K17" s="1" t="n">
        <v>2</v>
      </c>
      <c r="L17" s="1" t="n">
        <v>1</v>
      </c>
      <c r="M17" s="1" t="n">
        <v>0</v>
      </c>
      <c r="N17" s="1" t="n">
        <v>0</v>
      </c>
      <c r="O17" s="1" t="n">
        <v>0</v>
      </c>
      <c r="P17" s="1" t="n">
        <v>0</v>
      </c>
      <c r="Q17" s="1" t="n">
        <v>0</v>
      </c>
      <c r="R17" s="1" t="n">
        <v>0</v>
      </c>
      <c r="S17" s="1" t="n">
        <v>0</v>
      </c>
      <c r="AC17" s="1" t="str">
        <f aca="false">IF(OR(AC$14="",$E17=""),"",AB17)</f>
        <v/>
      </c>
      <c r="AD17" s="1" t="str">
        <f aca="false">IF(OR(AD$14="",$E17=""),"",AC17)</f>
        <v/>
      </c>
    </row>
    <row r="18" customFormat="false" ht="13.2" hidden="false" customHeight="false" outlineLevel="0" collapsed="false">
      <c r="A18" s="72" t="s">
        <v>46</v>
      </c>
      <c r="B18" s="1" t="n">
        <v>12</v>
      </c>
      <c r="C18" s="72" t="s">
        <v>129</v>
      </c>
      <c r="D18" s="0" t="str">
        <f aca="false">IF(A18&lt;&gt;"","Planned","")</f>
        <v>Planned</v>
      </c>
      <c r="E18" s="1" t="n">
        <v>3</v>
      </c>
      <c r="F18" s="1" t="n">
        <f aca="false">IF(OR(F$14="",$E18=""),"",E18)</f>
        <v>3</v>
      </c>
      <c r="G18" s="1" t="n">
        <v>3</v>
      </c>
      <c r="H18" s="1" t="n">
        <v>3</v>
      </c>
      <c r="I18" s="1" t="n">
        <v>3</v>
      </c>
      <c r="J18" s="1" t="n">
        <v>3</v>
      </c>
      <c r="K18" s="1" t="n">
        <v>2</v>
      </c>
      <c r="L18" s="1" t="n">
        <v>1</v>
      </c>
      <c r="M18" s="1" t="n">
        <v>0</v>
      </c>
      <c r="N18" s="1" t="n">
        <v>0</v>
      </c>
      <c r="O18" s="1" t="n">
        <v>0</v>
      </c>
      <c r="P18" s="1" t="n">
        <v>0</v>
      </c>
      <c r="Q18" s="1" t="n">
        <v>0</v>
      </c>
      <c r="R18" s="1" t="n">
        <v>0</v>
      </c>
      <c r="S18" s="1" t="n">
        <v>0</v>
      </c>
      <c r="AC18" s="1" t="str">
        <f aca="false">IF(OR(AC$14="",$E18=""),"",AB18)</f>
        <v/>
      </c>
      <c r="AD18" s="1" t="str">
        <f aca="false">IF(OR(AD$14="",$E18=""),"",AC18)</f>
        <v/>
      </c>
    </row>
    <row r="19" customFormat="false" ht="13.2" hidden="false" customHeight="false" outlineLevel="0" collapsed="false">
      <c r="A19" s="72" t="s">
        <v>136</v>
      </c>
      <c r="B19" s="1" t="n">
        <v>14</v>
      </c>
      <c r="C19" s="72" t="s">
        <v>124</v>
      </c>
      <c r="D19" s="0" t="str">
        <f aca="false">IF(A19&lt;&gt;"","Planned","")</f>
        <v>Planned</v>
      </c>
      <c r="E19" s="1" t="n">
        <v>5</v>
      </c>
      <c r="F19" s="1" t="n">
        <f aca="false">IF(OR(F$14="",$E19=""),"",E19)</f>
        <v>5</v>
      </c>
      <c r="G19" s="1" t="n">
        <v>4</v>
      </c>
      <c r="H19" s="1" t="n">
        <v>4</v>
      </c>
      <c r="I19" s="1" t="n">
        <v>4</v>
      </c>
      <c r="J19" s="1" t="n">
        <v>4</v>
      </c>
      <c r="K19" s="1" t="n">
        <v>3</v>
      </c>
      <c r="L19" s="1" t="n">
        <v>2</v>
      </c>
      <c r="M19" s="1" t="n">
        <v>1</v>
      </c>
      <c r="N19" s="1" t="n">
        <v>0</v>
      </c>
      <c r="O19" s="1" t="n">
        <v>0</v>
      </c>
      <c r="P19" s="1" t="n">
        <v>0</v>
      </c>
      <c r="Q19" s="1" t="n">
        <v>0</v>
      </c>
      <c r="R19" s="1" t="n">
        <v>0</v>
      </c>
      <c r="S19" s="1" t="n">
        <v>0</v>
      </c>
      <c r="AC19" s="1" t="str">
        <f aca="false">IF(OR(AC$14="",$E19=""),"",AB19)</f>
        <v/>
      </c>
      <c r="AD19" s="1" t="str">
        <f aca="false">IF(OR(AD$14="",$E19=""),"",AC19)</f>
        <v/>
      </c>
    </row>
    <row r="20" customFormat="false" ht="13.2" hidden="false" customHeight="false" outlineLevel="0" collapsed="false">
      <c r="A20" s="72" t="s">
        <v>52</v>
      </c>
      <c r="B20" s="1" t="n">
        <v>15</v>
      </c>
      <c r="C20" s="72" t="s">
        <v>137</v>
      </c>
      <c r="D20" s="0" t="str">
        <f aca="false">IF(A20&lt;&gt;"","Planned","")</f>
        <v>Planned</v>
      </c>
      <c r="E20" s="1" t="n">
        <v>4</v>
      </c>
      <c r="F20" s="1" t="n">
        <f aca="false">IF(OR(F$14="",$E20=""),"",E20)</f>
        <v>4</v>
      </c>
      <c r="G20" s="1" t="n">
        <v>4</v>
      </c>
      <c r="H20" s="1" t="n">
        <v>4</v>
      </c>
      <c r="I20" s="1" t="n">
        <v>4</v>
      </c>
      <c r="J20" s="1" t="n">
        <v>2</v>
      </c>
      <c r="K20" s="1" t="n">
        <v>2</v>
      </c>
      <c r="L20" s="1" t="n">
        <v>0</v>
      </c>
      <c r="M20" s="1" t="n">
        <v>0</v>
      </c>
      <c r="N20" s="1" t="n">
        <v>0</v>
      </c>
      <c r="O20" s="1" t="n">
        <v>0</v>
      </c>
      <c r="P20" s="1" t="n">
        <v>0</v>
      </c>
      <c r="Q20" s="1" t="n">
        <v>0</v>
      </c>
      <c r="R20" s="1" t="n">
        <v>0</v>
      </c>
      <c r="S20" s="1" t="n">
        <v>0</v>
      </c>
      <c r="AC20" s="1" t="str">
        <f aca="false">IF(OR(AC$14="",$E20=""),"",AB20)</f>
        <v/>
      </c>
      <c r="AD20" s="1" t="str">
        <f aca="false">IF(OR(AD$14="",$E20=""),"",AC20)</f>
        <v/>
      </c>
    </row>
    <row r="21" customFormat="false" ht="13.2" hidden="false" customHeight="false" outlineLevel="0" collapsed="false">
      <c r="A21" s="72" t="s">
        <v>54</v>
      </c>
      <c r="B21" s="1" t="n">
        <v>16</v>
      </c>
      <c r="C21" s="72" t="s">
        <v>129</v>
      </c>
      <c r="D21" s="0" t="str">
        <f aca="false">IF(A21&lt;&gt;"","Planned","")</f>
        <v>Planned</v>
      </c>
      <c r="E21" s="1" t="n">
        <v>4</v>
      </c>
      <c r="F21" s="1" t="n">
        <f aca="false">IF(OR(F$14="",$E21=""),"",E21)</f>
        <v>4</v>
      </c>
      <c r="G21" s="1" t="n">
        <v>4</v>
      </c>
      <c r="H21" s="1" t="n">
        <v>4</v>
      </c>
      <c r="I21" s="1" t="n">
        <v>4</v>
      </c>
      <c r="J21" s="1" t="n">
        <v>4</v>
      </c>
      <c r="K21" s="1" t="n">
        <v>2</v>
      </c>
      <c r="L21" s="1" t="n">
        <v>2</v>
      </c>
      <c r="M21" s="1" t="n">
        <v>0</v>
      </c>
      <c r="N21" s="1" t="n">
        <v>0</v>
      </c>
      <c r="O21" s="1" t="n">
        <v>0</v>
      </c>
      <c r="P21" s="1" t="n">
        <v>0</v>
      </c>
      <c r="Q21" s="1" t="n">
        <v>0</v>
      </c>
      <c r="R21" s="1" t="n">
        <v>0</v>
      </c>
      <c r="S21" s="1" t="n">
        <v>0</v>
      </c>
      <c r="AC21" s="1" t="str">
        <f aca="false">IF(OR(AC$14="",$E21=""),"",AB21)</f>
        <v/>
      </c>
      <c r="AD21" s="1" t="str">
        <f aca="false">IF(OR(AD$14="",$E21=""),"",AC21)</f>
        <v/>
      </c>
    </row>
    <row r="22" customFormat="false" ht="13.2" hidden="false" customHeight="false" outlineLevel="0" collapsed="false">
      <c r="A22" s="72"/>
      <c r="C22" s="72"/>
      <c r="D22" s="0" t="str">
        <f aca="false">IF(A22&lt;&gt;"","Planned","")</f>
        <v/>
      </c>
      <c r="F22" s="1" t="str">
        <f aca="false">IF(OR(F$14="",$E22=""),"",E22)</f>
        <v/>
      </c>
      <c r="AC22" s="1" t="str">
        <f aca="false">IF(OR(AC$14="",$E22=""),"",AB22)</f>
        <v/>
      </c>
      <c r="AD22" s="1" t="str">
        <f aca="false">IF(OR(AD$14="",$E22=""),"",AC22)</f>
        <v/>
      </c>
    </row>
    <row r="23" customFormat="false" ht="13.2" hidden="false" customHeight="false" outlineLevel="0" collapsed="false">
      <c r="A23" s="72"/>
      <c r="C23" s="72"/>
      <c r="D23" s="0" t="str">
        <f aca="false">IF(A23&lt;&gt;"","Planned","")</f>
        <v/>
      </c>
      <c r="F23" s="1" t="str">
        <f aca="false">IF(OR(F$14="",$E23=""),"",E23)</f>
        <v/>
      </c>
      <c r="AC23" s="1" t="str">
        <f aca="false">IF(OR(AC$14="",$E23=""),"",AB23)</f>
        <v/>
      </c>
      <c r="AD23" s="1" t="str">
        <f aca="false">IF(OR(AD$14="",$E23=""),"",AC23)</f>
        <v/>
      </c>
    </row>
    <row r="24" customFormat="false" ht="13.2" hidden="false" customHeight="false" outlineLevel="0" collapsed="false">
      <c r="A24" s="72"/>
      <c r="C24" s="72"/>
      <c r="D24" s="0" t="str">
        <f aca="false">IF(A24&lt;&gt;"","Planned","")</f>
        <v/>
      </c>
      <c r="F24" s="1" t="str">
        <f aca="false">IF(OR(F$14="",$E24=""),"",E24)</f>
        <v/>
      </c>
      <c r="AC24" s="1" t="str">
        <f aca="false">IF(OR(AC$14="",$E24=""),"",AB24)</f>
        <v/>
      </c>
      <c r="AD24" s="1" t="str">
        <f aca="false">IF(OR(AD$14="",$E24=""),"",AC24)</f>
        <v/>
      </c>
    </row>
    <row r="25" customFormat="false" ht="13.2" hidden="false" customHeight="false" outlineLevel="0" collapsed="false">
      <c r="A25" s="72"/>
      <c r="C25" s="72"/>
      <c r="D25" s="0" t="str">
        <f aca="false">IF(A25&lt;&gt;"","Planned","")</f>
        <v/>
      </c>
      <c r="F25" s="1" t="str">
        <f aca="false">IF(OR(F$14="",$E25=""),"",E25)</f>
        <v/>
      </c>
      <c r="AC25" s="1" t="str">
        <f aca="false">IF(OR(AC$14="",$E25=""),"",AB25)</f>
        <v/>
      </c>
      <c r="AD25" s="1" t="str">
        <f aca="false">IF(OR(AD$14="",$E25=""),"",AC25)</f>
        <v/>
      </c>
    </row>
    <row r="26" customFormat="false" ht="13.2" hidden="false" customHeight="false" outlineLevel="0" collapsed="false">
      <c r="A26" s="72"/>
      <c r="C26" s="72"/>
      <c r="D26" s="0" t="str">
        <f aca="false">IF(A26&lt;&gt;"","Planned","")</f>
        <v/>
      </c>
      <c r="F26" s="1" t="str">
        <f aca="false">IF(OR(F$14="",$E26=""),"",E26)</f>
        <v/>
      </c>
      <c r="AC26" s="1" t="str">
        <f aca="false">IF(OR(AC$14="",$E26=""),"",AB26)</f>
        <v/>
      </c>
      <c r="AD26" s="1" t="str">
        <f aca="false">IF(OR(AD$14="",$E26=""),"",AC26)</f>
        <v/>
      </c>
    </row>
    <row r="27" customFormat="false" ht="13.2" hidden="false" customHeight="false" outlineLevel="0" collapsed="false">
      <c r="A27" s="72"/>
      <c r="C27" s="72"/>
      <c r="D27" s="0" t="str">
        <f aca="false">IF(A27&lt;&gt;"","Planned","")</f>
        <v/>
      </c>
      <c r="F27" s="1" t="str">
        <f aca="false">IF(OR(F$14="",$E27=""),"",E27)</f>
        <v/>
      </c>
      <c r="AC27" s="1" t="str">
        <f aca="false">IF(OR(AC$14="",$E27=""),"",AB27)</f>
        <v/>
      </c>
      <c r="AD27" s="1" t="str">
        <f aca="false">IF(OR(AD$14="",$E27=""),"",AC27)</f>
        <v/>
      </c>
    </row>
    <row r="28" customFormat="false" ht="12.8" hidden="false" customHeight="false" outlineLevel="0" collapsed="false">
      <c r="A28" s="72"/>
      <c r="C28" s="72"/>
      <c r="D28" s="0" t="str">
        <f aca="false">IF(A28&lt;&gt;"","Planned","")</f>
        <v/>
      </c>
      <c r="F28" s="1" t="str">
        <f aca="false">IF(OR(F$14="",$E28=""),"",E28)</f>
        <v/>
      </c>
      <c r="L28" s="0"/>
      <c r="M28" s="0"/>
      <c r="N28" s="0"/>
      <c r="O28" s="0"/>
      <c r="P28" s="0"/>
      <c r="Q28" s="0"/>
      <c r="AC28" s="1" t="str">
        <f aca="false">IF(OR(AC$14="",$E28=""),"",AB28)</f>
        <v/>
      </c>
      <c r="AD28" s="1" t="str">
        <f aca="false">IF(OR(AD$14="",$E28=""),"",AC28)</f>
        <v/>
      </c>
    </row>
    <row r="29" customFormat="false" ht="12.8" hidden="false" customHeight="false" outlineLevel="0" collapsed="false">
      <c r="A29" s="72"/>
      <c r="C29" s="72"/>
      <c r="D29" s="0" t="str">
        <f aca="false">IF(A29&lt;&gt;"","Planned","")</f>
        <v/>
      </c>
      <c r="F29" s="1" t="str">
        <f aca="false">IF(OR(F$14="",$E29=""),"",E29)</f>
        <v/>
      </c>
      <c r="L29" s="0"/>
      <c r="AC29" s="1" t="str">
        <f aca="false">IF(OR(AC$14="",$E29=""),"",AB29)</f>
        <v/>
      </c>
      <c r="AD29" s="1" t="str">
        <f aca="false">IF(OR(AD$14="",$E29=""),"",AC29)</f>
        <v/>
      </c>
    </row>
    <row r="30" customFormat="false" ht="12.8" hidden="false" customHeight="false" outlineLevel="0" collapsed="false">
      <c r="A30" s="72"/>
      <c r="C30" s="72"/>
      <c r="D30" s="0" t="str">
        <f aca="false">IF(A30&lt;&gt;"","Planned","")</f>
        <v/>
      </c>
      <c r="F30" s="1" t="str">
        <f aca="false">IF(OR(F$14="",$E30=""),"",E30)</f>
        <v/>
      </c>
      <c r="L30" s="0"/>
      <c r="AC30" s="1" t="str">
        <f aca="false">IF(OR(AC$14="",$E30=""),"",AB30)</f>
        <v/>
      </c>
      <c r="AD30" s="1" t="str">
        <f aca="false">IF(OR(AD$14="",$E30=""),"",AC30)</f>
        <v/>
      </c>
    </row>
    <row r="31" customFormat="false" ht="12.8" hidden="false" customHeight="false" outlineLevel="0" collapsed="false">
      <c r="A31" s="72"/>
      <c r="C31" s="72"/>
      <c r="D31" s="0" t="str">
        <f aca="false">IF(A31&lt;&gt;"","Planned","")</f>
        <v/>
      </c>
      <c r="F31" s="1" t="str">
        <f aca="false">IF(OR(F$14="",$E31=""),"",E31)</f>
        <v/>
      </c>
      <c r="L31" s="0"/>
      <c r="AC31" s="1" t="str">
        <f aca="false">IF(OR(AC$14="",$E31=""),"",AB31)</f>
        <v/>
      </c>
      <c r="AD31" s="1" t="str">
        <f aca="false">IF(OR(AD$14="",$E31=""),"",AC31)</f>
        <v/>
      </c>
    </row>
    <row r="32" customFormat="false" ht="12.8" hidden="false" customHeight="false" outlineLevel="0" collapsed="false">
      <c r="A32" s="72"/>
      <c r="C32" s="72"/>
      <c r="D32" s="0" t="str">
        <f aca="false">IF(A32&lt;&gt;"","Planned","")</f>
        <v/>
      </c>
      <c r="F32" s="1" t="str">
        <f aca="false">IF(OR(F$14="",$E32=""),"",E32)</f>
        <v/>
      </c>
      <c r="L32" s="0"/>
      <c r="AC32" s="1" t="str">
        <f aca="false">IF(OR(AC$14="",$E32=""),"",AB32)</f>
        <v/>
      </c>
      <c r="AD32" s="1" t="str">
        <f aca="false">IF(OR(AD$14="",$E32=""),"",AC32)</f>
        <v/>
      </c>
    </row>
    <row r="33" customFormat="false" ht="12.8" hidden="false" customHeight="false" outlineLevel="0" collapsed="false">
      <c r="A33" s="72"/>
      <c r="C33" s="72"/>
      <c r="D33" s="0" t="str">
        <f aca="false">IF(A33&lt;&gt;"","Planned","")</f>
        <v/>
      </c>
      <c r="F33" s="1" t="str">
        <f aca="false">IF(OR(F$14="",$E33=""),"",E33)</f>
        <v/>
      </c>
      <c r="L33" s="0"/>
      <c r="AC33" s="1" t="str">
        <f aca="false">IF(OR(AC$14="",$E33=""),"",AB33)</f>
        <v/>
      </c>
      <c r="AD33" s="1" t="str">
        <f aca="false">IF(OR(AD$14="",$E33=""),"",AC33)</f>
        <v/>
      </c>
    </row>
    <row r="34" customFormat="false" ht="12.8" hidden="false" customHeight="false" outlineLevel="0" collapsed="false">
      <c r="A34" s="72"/>
      <c r="C34" s="72"/>
      <c r="D34" s="0" t="str">
        <f aca="false">IF(A34&lt;&gt;"","Planned","")</f>
        <v/>
      </c>
      <c r="F34" s="1" t="str">
        <f aca="false">IF(OR(F$14="",$E34=""),"",E34)</f>
        <v/>
      </c>
      <c r="L34" s="0"/>
      <c r="AC34" s="1" t="str">
        <f aca="false">IF(OR(AC$14="",$E34=""),"",AB34)</f>
        <v/>
      </c>
      <c r="AD34" s="1" t="str">
        <f aca="false">IF(OR(AD$14="",$E34=""),"",AC34)</f>
        <v/>
      </c>
    </row>
    <row r="35" customFormat="false" ht="12.8" hidden="false" customHeight="false" outlineLevel="0" collapsed="false">
      <c r="A35" s="72"/>
      <c r="C35" s="72"/>
      <c r="D35" s="0" t="str">
        <f aca="false">IF(A35&lt;&gt;"","Planned","")</f>
        <v/>
      </c>
      <c r="F35" s="1" t="str">
        <f aca="false">IF(OR(F$14="",$E35=""),"",E35)</f>
        <v/>
      </c>
      <c r="L35" s="0"/>
      <c r="AC35" s="1" t="str">
        <f aca="false">IF(OR(AC$14="",$E35=""),"",AB35)</f>
        <v/>
      </c>
      <c r="AD35" s="1" t="str">
        <f aca="false">IF(OR(AD$14="",$E35=""),"",AC35)</f>
        <v/>
      </c>
    </row>
    <row r="36" customFormat="false" ht="12.8" hidden="false" customHeight="false" outlineLevel="0" collapsed="false">
      <c r="A36" s="72"/>
      <c r="C36" s="72"/>
      <c r="D36" s="0" t="str">
        <f aca="false">IF(A36&lt;&gt;"","Planned","")</f>
        <v/>
      </c>
      <c r="F36" s="1" t="str">
        <f aca="false">IF(OR(F$14="",$E36=""),"",E36)</f>
        <v/>
      </c>
      <c r="L36" s="0"/>
      <c r="AC36" s="1" t="str">
        <f aca="false">IF(OR(AC$14="",$E36=""),"",AB36)</f>
        <v/>
      </c>
      <c r="AD36" s="1" t="str">
        <f aca="false">IF(OR(AD$14="",$E36=""),"",AC36)</f>
        <v/>
      </c>
    </row>
    <row r="37" customFormat="false" ht="12.8" hidden="false" customHeight="false" outlineLevel="0" collapsed="false">
      <c r="A37" s="72"/>
      <c r="C37" s="72"/>
      <c r="D37" s="0" t="str">
        <f aca="false">IF(A37&lt;&gt;"","Planned","")</f>
        <v/>
      </c>
      <c r="F37" s="1" t="str">
        <f aca="false">IF(OR(F$14="",$E37=""),"",E37)</f>
        <v/>
      </c>
      <c r="L37" s="0"/>
      <c r="AC37" s="1" t="str">
        <f aca="false">IF(OR(AC$14="",$E37=""),"",AB37)</f>
        <v/>
      </c>
      <c r="AD37" s="1" t="str">
        <f aca="false">IF(OR(AD$14="",$E37=""),"",AC37)</f>
        <v/>
      </c>
    </row>
    <row r="38" customFormat="false" ht="12.8" hidden="false" customHeight="false" outlineLevel="0" collapsed="false">
      <c r="A38" s="72"/>
      <c r="C38" s="72"/>
      <c r="D38" s="0" t="str">
        <f aca="false">IF(A38&lt;&gt;"","Planned","")</f>
        <v/>
      </c>
      <c r="F38" s="1" t="str">
        <f aca="false">IF(OR(F$14="",$E38=""),"",E38)</f>
        <v/>
      </c>
      <c r="AC38" s="1" t="str">
        <f aca="false">IF(OR(AC$14="",$E38=""),"",AB38)</f>
        <v/>
      </c>
      <c r="AD38" s="1" t="str">
        <f aca="false">IF(OR(AD$14="",$E38=""),"",AC38)</f>
        <v/>
      </c>
    </row>
    <row r="39" customFormat="false" ht="13.2" hidden="false" customHeight="false" outlineLevel="0" collapsed="false">
      <c r="A39" s="72"/>
      <c r="C39" s="72"/>
      <c r="D39" s="0" t="str">
        <f aca="false">IF(A39&lt;&gt;"","Planned","")</f>
        <v/>
      </c>
      <c r="F39" s="1" t="str">
        <f aca="false">IF(OR(F$14="",$E39=""),"",E39)</f>
        <v/>
      </c>
      <c r="AC39" s="1" t="str">
        <f aca="false">IF(OR(AC$14="",$E39=""),"",AB39)</f>
        <v/>
      </c>
      <c r="AD39" s="1" t="str">
        <f aca="false">IF(OR(AD$14="",$E39=""),"",AC39)</f>
        <v/>
      </c>
    </row>
    <row r="40" customFormat="false" ht="13.2" hidden="false" customHeight="false" outlineLevel="0" collapsed="false">
      <c r="A40" s="72"/>
      <c r="C40" s="72"/>
      <c r="D40" s="0" t="str">
        <f aca="false">IF(A40&lt;&gt;"","Planned","")</f>
        <v/>
      </c>
      <c r="F40" s="1" t="str">
        <f aca="false">IF(OR(F$14="",$E40=""),"",E40)</f>
        <v/>
      </c>
      <c r="AC40" s="1" t="str">
        <f aca="false">IF(OR(AC$14="",$E40=""),"",AB40)</f>
        <v/>
      </c>
      <c r="AD40" s="1" t="str">
        <f aca="false">IF(OR(AD$14="",$E40=""),"",AC40)</f>
        <v/>
      </c>
    </row>
    <row r="41" customFormat="false" ht="13.2" hidden="false" customHeight="false" outlineLevel="0" collapsed="false">
      <c r="A41" s="72"/>
      <c r="C41" s="72"/>
      <c r="D41" s="0" t="str">
        <f aca="false">IF(A41&lt;&gt;"","Planned","")</f>
        <v/>
      </c>
      <c r="F41" s="1" t="str">
        <f aca="false">IF(OR(F$14="",$E41=""),"",E41)</f>
        <v/>
      </c>
      <c r="AC41" s="1" t="str">
        <f aca="false">IF(OR(AC$14="",$E41=""),"",AB41)</f>
        <v/>
      </c>
      <c r="AD41" s="1" t="str">
        <f aca="false">IF(OR(AD$14="",$E41=""),"",AC41)</f>
        <v/>
      </c>
    </row>
    <row r="42" customFormat="false" ht="13.2" hidden="false" customHeight="false" outlineLevel="0" collapsed="false">
      <c r="A42" s="72"/>
      <c r="C42" s="72"/>
      <c r="D42" s="0" t="str">
        <f aca="false">IF(A42&lt;&gt;"","Planned","")</f>
        <v/>
      </c>
      <c r="F42" s="1" t="str">
        <f aca="false">IF(OR(F$14="",$E42=""),"",E42)</f>
        <v/>
      </c>
      <c r="AC42" s="1" t="str">
        <f aca="false">IF(OR(AC$14="",$E42=""),"",AB42)</f>
        <v/>
      </c>
      <c r="AD42" s="1" t="str">
        <f aca="false">IF(OR(AD$14="",$E42=""),"",AC42)</f>
        <v/>
      </c>
    </row>
    <row r="43" customFormat="false" ht="13.2" hidden="false" customHeight="false" outlineLevel="0" collapsed="false">
      <c r="A43" s="72"/>
      <c r="C43" s="72"/>
      <c r="D43" s="0" t="str">
        <f aca="false">IF(A43&lt;&gt;"","Planned","")</f>
        <v/>
      </c>
      <c r="F43" s="1" t="str">
        <f aca="false">IF(OR(F$14="",$E43=""),"",E43)</f>
        <v/>
      </c>
      <c r="AC43" s="1" t="str">
        <f aca="false">IF(OR(AC$14="",$E43=""),"",AB43)</f>
        <v/>
      </c>
      <c r="AD43" s="1" t="str">
        <f aca="false">IF(OR(AD$14="",$E43=""),"",AC43)</f>
        <v/>
      </c>
    </row>
    <row r="44" customFormat="false" ht="13.2" hidden="false" customHeight="false" outlineLevel="0" collapsed="false">
      <c r="A44" s="72"/>
      <c r="C44" s="72"/>
      <c r="D44" s="0" t="str">
        <f aca="false">IF(A44&lt;&gt;"","Planned","")</f>
        <v/>
      </c>
      <c r="F44" s="1" t="str">
        <f aca="false">IF(OR(F$14="",$E44=""),"",E44)</f>
        <v/>
      </c>
      <c r="AC44" s="1" t="str">
        <f aca="false">IF(OR(AC$14="",$E44=""),"",AB44)</f>
        <v/>
      </c>
      <c r="AD44" s="1" t="str">
        <f aca="false">IF(OR(AD$14="",$E44=""),"",AC44)</f>
        <v/>
      </c>
    </row>
    <row r="45" customFormat="false" ht="13.2" hidden="false" customHeight="false" outlineLevel="0" collapsed="false">
      <c r="A45" s="72"/>
      <c r="C45" s="72"/>
      <c r="D45" s="0" t="str">
        <f aca="false">IF(A45&lt;&gt;"","Planned","")</f>
        <v/>
      </c>
      <c r="F45" s="1" t="str">
        <f aca="false">IF(OR(F$14="",$E45=""),"",E45)</f>
        <v/>
      </c>
      <c r="AC45" s="1" t="str">
        <f aca="false">IF(OR(AC$14="",$E45=""),"",AB45)</f>
        <v/>
      </c>
      <c r="AD45" s="1" t="str">
        <f aca="false">IF(OR(AD$14="",$E45=""),"",AC45)</f>
        <v/>
      </c>
    </row>
    <row r="46" customFormat="false" ht="13.2" hidden="false" customHeight="false" outlineLevel="0" collapsed="false">
      <c r="A46" s="72"/>
      <c r="C46" s="72"/>
      <c r="D46" s="0" t="str">
        <f aca="false">IF(A46&lt;&gt;"","Planned","")</f>
        <v/>
      </c>
      <c r="F46" s="1" t="str">
        <f aca="false">IF(OR(F$14="",$E46=""),"",E46)</f>
        <v/>
      </c>
      <c r="AC46" s="1" t="str">
        <f aca="false">IF(OR(AC$14="",$E46=""),"",AB46)</f>
        <v/>
      </c>
      <c r="AD46" s="1" t="str">
        <f aca="false">IF(OR(AD$14="",$E46=""),"",AC46)</f>
        <v/>
      </c>
    </row>
    <row r="47" customFormat="false" ht="13.2" hidden="false" customHeight="false" outlineLevel="0" collapsed="false">
      <c r="A47" s="72"/>
      <c r="C47" s="72"/>
      <c r="D47" s="0" t="str">
        <f aca="false">IF(A47&lt;&gt;"","Planned","")</f>
        <v/>
      </c>
      <c r="F47" s="1" t="str">
        <f aca="false">IF(OR(F$14="",$E47=""),"",E47)</f>
        <v/>
      </c>
      <c r="AC47" s="1" t="str">
        <f aca="false">IF(OR(AC$14="",$E47=""),"",AB47)</f>
        <v/>
      </c>
      <c r="AD47" s="1" t="str">
        <f aca="false">IF(OR(AD$14="",$E47=""),"",AC47)</f>
        <v/>
      </c>
    </row>
    <row r="48" customFormat="false" ht="13.2" hidden="false" customHeight="false" outlineLevel="0" collapsed="false">
      <c r="A48" s="72"/>
      <c r="C48" s="72"/>
      <c r="D48" s="0" t="str">
        <f aca="false">IF(A48&lt;&gt;"","Planned","")</f>
        <v/>
      </c>
      <c r="F48" s="1" t="str">
        <f aca="false">IF(OR(F$14="",$E48=""),"",E48)</f>
        <v/>
      </c>
      <c r="AC48" s="1" t="str">
        <f aca="false">IF(OR(AC$14="",$E48=""),"",AB48)</f>
        <v/>
      </c>
      <c r="AD48" s="1" t="str">
        <f aca="false">IF(OR(AD$14="",$E48=""),"",AC48)</f>
        <v/>
      </c>
    </row>
    <row r="49" customFormat="false" ht="13.2" hidden="false" customHeight="false" outlineLevel="0" collapsed="false">
      <c r="A49" s="72"/>
      <c r="C49" s="72"/>
      <c r="D49" s="0" t="str">
        <f aca="false">IF(A49&lt;&gt;"","Planned","")</f>
        <v/>
      </c>
      <c r="F49" s="1" t="str">
        <f aca="false">IF(OR(F$14="",$E49=""),"",E49)</f>
        <v/>
      </c>
      <c r="AC49" s="1" t="str">
        <f aca="false">IF(OR(AC$14="",$E49=""),"",AB49)</f>
        <v/>
      </c>
      <c r="AD49" s="1" t="str">
        <f aca="false">IF(OR(AD$14="",$E49=""),"",AC49)</f>
        <v/>
      </c>
    </row>
    <row r="50" customFormat="false" ht="13.2" hidden="false" customHeight="false" outlineLevel="0" collapsed="false">
      <c r="A50" s="72"/>
      <c r="C50" s="72"/>
      <c r="D50" s="0" t="str">
        <f aca="false">IF(A50&lt;&gt;"","Planned","")</f>
        <v/>
      </c>
      <c r="F50" s="1" t="str">
        <f aca="false">IF(OR(F$14="",$E50=""),"",E50)</f>
        <v/>
      </c>
      <c r="AC50" s="1" t="str">
        <f aca="false">IF(OR(AC$14="",$E50=""),"",AB50)</f>
        <v/>
      </c>
      <c r="AD50" s="1" t="str">
        <f aca="false">IF(OR(AD$14="",$E50=""),"",AC50)</f>
        <v/>
      </c>
    </row>
    <row r="51" customFormat="false" ht="13.2" hidden="false" customHeight="false" outlineLevel="0" collapsed="false">
      <c r="A51" s="72"/>
      <c r="C51" s="72"/>
      <c r="D51" s="0" t="str">
        <f aca="false">IF(A51&lt;&gt;"","Planned","")</f>
        <v/>
      </c>
      <c r="F51" s="1" t="str">
        <f aca="false">IF(OR(F$14="",$E51=""),"",E51)</f>
        <v/>
      </c>
      <c r="AC51" s="1" t="str">
        <f aca="false">IF(OR(AC$14="",$E51=""),"",AB51)</f>
        <v/>
      </c>
      <c r="AD51" s="1" t="str">
        <f aca="false">IF(OR(AD$14="",$E51=""),"",AC51)</f>
        <v/>
      </c>
    </row>
    <row r="52" customFormat="false" ht="13.2" hidden="false" customHeight="false" outlineLevel="0" collapsed="false">
      <c r="A52" s="72"/>
      <c r="C52" s="72"/>
      <c r="D52" s="0" t="str">
        <f aca="false">IF(A52&lt;&gt;"","Planned","")</f>
        <v/>
      </c>
      <c r="F52" s="1" t="str">
        <f aca="false">IF(OR(F$14="",$E52=""),"",E52)</f>
        <v/>
      </c>
      <c r="AC52" s="1" t="str">
        <f aca="false">IF(OR(AC$14="",$E52=""),"",AB52)</f>
        <v/>
      </c>
      <c r="AD52" s="1" t="str">
        <f aca="false">IF(OR(AD$14="",$E52=""),"",AC52)</f>
        <v/>
      </c>
    </row>
    <row r="53" customFormat="false" ht="13.2" hidden="false" customHeight="false" outlineLevel="0" collapsed="false">
      <c r="A53" s="72"/>
      <c r="C53" s="72"/>
      <c r="D53" s="0" t="str">
        <f aca="false">IF(A53&lt;&gt;"","Planned","")</f>
        <v/>
      </c>
      <c r="F53" s="1" t="str">
        <f aca="false">IF(OR(F$14="",$E53=""),"",E53)</f>
        <v/>
      </c>
      <c r="AC53" s="1" t="str">
        <f aca="false">IF(OR(AC$14="",$E53=""),"",AB53)</f>
        <v/>
      </c>
      <c r="AD53" s="1" t="str">
        <f aca="false">IF(OR(AD$14="",$E53=""),"",AC53)</f>
        <v/>
      </c>
    </row>
    <row r="54" customFormat="false" ht="13.2" hidden="false" customHeight="false" outlineLevel="0" collapsed="false">
      <c r="A54" s="72"/>
      <c r="C54" s="72"/>
      <c r="D54" s="0" t="str">
        <f aca="false">IF(A54&lt;&gt;"","Planned","")</f>
        <v/>
      </c>
      <c r="F54" s="1" t="str">
        <f aca="false">IF(OR(F$14="",$E54=""),"",E54)</f>
        <v/>
      </c>
      <c r="AC54" s="1" t="str">
        <f aca="false">IF(OR(AC$14="",$E54=""),"",AB54)</f>
        <v/>
      </c>
      <c r="AD54" s="1" t="str">
        <f aca="false">IF(OR(AD$14="",$E54=""),"",AC54)</f>
        <v/>
      </c>
    </row>
    <row r="55" customFormat="false" ht="13.2" hidden="false" customHeight="false" outlineLevel="0" collapsed="false">
      <c r="A55" s="72"/>
      <c r="C55" s="72"/>
      <c r="D55" s="0" t="str">
        <f aca="false">IF(A55&lt;&gt;"","Planned","")</f>
        <v/>
      </c>
      <c r="F55" s="1" t="str">
        <f aca="false">IF(OR(F$14="",$E55=""),"",E55)</f>
        <v/>
      </c>
      <c r="AC55" s="1" t="str">
        <f aca="false">IF(OR(AC$14="",$E55=""),"",AB55)</f>
        <v/>
      </c>
      <c r="AD55" s="1" t="str">
        <f aca="false">IF(OR(AD$14="",$E55=""),"",AC55)</f>
        <v/>
      </c>
    </row>
    <row r="56" customFormat="false" ht="13.2" hidden="false" customHeight="false" outlineLevel="0" collapsed="false">
      <c r="A56" s="72"/>
      <c r="C56" s="72"/>
      <c r="D56" s="0" t="str">
        <f aca="false">IF(A56&lt;&gt;"","Planned","")</f>
        <v/>
      </c>
      <c r="F56" s="1" t="str">
        <f aca="false">IF(OR(F$14="",$E56=""),"",E56)</f>
        <v/>
      </c>
      <c r="AC56" s="1" t="str">
        <f aca="false">IF(OR(AC$14="",$E56=""),"",AB56)</f>
        <v/>
      </c>
      <c r="AD56" s="1" t="str">
        <f aca="false">IF(OR(AD$14="",$E56=""),"",AC56)</f>
        <v/>
      </c>
    </row>
    <row r="57" customFormat="false" ht="13.2" hidden="false" customHeight="false" outlineLevel="0" collapsed="false">
      <c r="A57" s="72"/>
      <c r="C57" s="72"/>
      <c r="D57" s="0" t="str">
        <f aca="false">IF(A57&lt;&gt;"","Planned","")</f>
        <v/>
      </c>
      <c r="F57" s="1" t="str">
        <f aca="false">IF(OR(F$14="",$E57=""),"",E57)</f>
        <v/>
      </c>
      <c r="AC57" s="1" t="str">
        <f aca="false">IF(OR(AC$14="",$E57=""),"",AB57)</f>
        <v/>
      </c>
      <c r="AD57" s="1" t="str">
        <f aca="false">IF(OR(AD$14="",$E57=""),"",AC57)</f>
        <v/>
      </c>
    </row>
    <row r="58" customFormat="false" ht="13.2" hidden="false" customHeight="false" outlineLevel="0" collapsed="false">
      <c r="A58" s="72"/>
      <c r="C58" s="72"/>
      <c r="D58" s="0" t="str">
        <f aca="false">IF(A58&lt;&gt;"","Planned","")</f>
        <v/>
      </c>
      <c r="F58" s="1" t="str">
        <f aca="false">IF(OR(F$14="",$E58=""),"",E58)</f>
        <v/>
      </c>
      <c r="G58" s="1" t="str">
        <f aca="false">IF(OR(G$14="",$E58=""),"",F58)</f>
        <v/>
      </c>
      <c r="H58" s="1" t="str">
        <f aca="false">IF(OR(H$14="",$E58=""),"",G58)</f>
        <v/>
      </c>
      <c r="I58" s="1" t="str">
        <f aca="false">IF(OR(I$14="",$E58=""),"",H58)</f>
        <v/>
      </c>
      <c r="J58" s="1" t="str">
        <f aca="false">IF(OR(J$14="",$E58=""),"",I58)</f>
        <v/>
      </c>
      <c r="K58" s="1" t="str">
        <f aca="false">IF(OR(K$14="",$E58=""),"",J58)</f>
        <v/>
      </c>
      <c r="L58" s="1" t="str">
        <f aca="false">IF(OR(L$14="",$E58=""),"",K58)</f>
        <v/>
      </c>
      <c r="M58" s="1" t="str">
        <f aca="false">IF(OR(M$14="",$E58=""),"",L58)</f>
        <v/>
      </c>
      <c r="N58" s="1" t="str">
        <f aca="false">IF(OR(N$14="",$E58=""),"",M58)</f>
        <v/>
      </c>
      <c r="O58" s="1" t="str">
        <f aca="false">IF(OR(O$14="",$E58=""),"",N58)</f>
        <v/>
      </c>
      <c r="P58" s="1" t="str">
        <f aca="false">IF(OR(P$14="",$E58=""),"",O58)</f>
        <v/>
      </c>
      <c r="Q58" s="1" t="str">
        <f aca="false">IF(OR(Q$14="",$E58=""),"",P58)</f>
        <v/>
      </c>
      <c r="R58" s="1" t="str">
        <f aca="false">IF(OR(R$14="",$E58=""),"",Q58)</f>
        <v/>
      </c>
      <c r="S58" s="1" t="str">
        <f aca="false">IF(OR(S$14="",$E58=""),"",R58)</f>
        <v/>
      </c>
      <c r="T58" s="1" t="str">
        <f aca="false">IF(OR(T$14="",$E58=""),"",S58)</f>
        <v/>
      </c>
      <c r="U58" s="1" t="str">
        <f aca="false">IF(OR(U$14="",$E58=""),"",T58)</f>
        <v/>
      </c>
      <c r="V58" s="1" t="str">
        <f aca="false">IF(OR(V$14="",$E58=""),"",U58)</f>
        <v/>
      </c>
      <c r="W58" s="1" t="str">
        <f aca="false">IF(OR(W$14="",$E58=""),"",V58)</f>
        <v/>
      </c>
      <c r="X58" s="1" t="str">
        <f aca="false">IF(OR(X$14="",$E58=""),"",W58)</f>
        <v/>
      </c>
      <c r="Y58" s="1" t="str">
        <f aca="false">IF(OR(Y$14="",$E58=""),"",X58)</f>
        <v/>
      </c>
      <c r="Z58" s="1" t="str">
        <f aca="false">IF(OR(Z$14="",$E58=""),"",Y58)</f>
        <v/>
      </c>
      <c r="AA58" s="1" t="str">
        <f aca="false">IF(OR(AA$14="",$E58=""),"",Z58)</f>
        <v/>
      </c>
      <c r="AB58" s="1" t="str">
        <f aca="false">IF(OR(AB$14="",$E58=""),"",AA58)</f>
        <v/>
      </c>
      <c r="AC58" s="1" t="str">
        <f aca="false">IF(OR(AC$14="",$E58=""),"",AB58)</f>
        <v/>
      </c>
      <c r="AD58" s="1" t="str">
        <f aca="false">IF(OR(AD$14="",$E58=""),"",AC58)</f>
        <v/>
      </c>
    </row>
    <row r="59" customFormat="false" ht="13.2" hidden="false" customHeight="false" outlineLevel="0" collapsed="false">
      <c r="D59" s="0" t="str">
        <f aca="false">IF(A59&lt;&gt;"","Planned","")</f>
        <v/>
      </c>
      <c r="F59" s="1" t="str">
        <f aca="false">IF(OR(F$14="",$E59=""),"",E59)</f>
        <v/>
      </c>
      <c r="G59" s="1" t="str">
        <f aca="false">IF(OR(G$14="",$E59=""),"",F59)</f>
        <v/>
      </c>
      <c r="H59" s="1" t="str">
        <f aca="false">IF(OR(H$14="",$E59=""),"",G59)</f>
        <v/>
      </c>
      <c r="I59" s="1" t="str">
        <f aca="false">IF(OR(I$14="",$E59=""),"",H59)</f>
        <v/>
      </c>
      <c r="J59" s="1" t="str">
        <f aca="false">IF(OR(J$14="",$E59=""),"",I59)</f>
        <v/>
      </c>
      <c r="K59" s="1" t="str">
        <f aca="false">IF(OR(K$14="",$E59=""),"",J59)</f>
        <v/>
      </c>
      <c r="L59" s="1" t="str">
        <f aca="false">IF(OR(L$14="",$E59=""),"",K59)</f>
        <v/>
      </c>
      <c r="M59" s="1" t="str">
        <f aca="false">IF(OR(M$14="",$E59=""),"",L59)</f>
        <v/>
      </c>
      <c r="N59" s="1" t="str">
        <f aca="false">IF(OR(N$14="",$E59=""),"",M59)</f>
        <v/>
      </c>
      <c r="O59" s="1" t="str">
        <f aca="false">IF(OR(O$14="",$E59=""),"",N59)</f>
        <v/>
      </c>
      <c r="P59" s="1" t="str">
        <f aca="false">IF(OR(P$14="",$E59=""),"",O59)</f>
        <v/>
      </c>
      <c r="Q59" s="1" t="str">
        <f aca="false">IF(OR(Q$14="",$E59=""),"",P59)</f>
        <v/>
      </c>
      <c r="R59" s="1" t="str">
        <f aca="false">IF(OR(R$14="",$E59=""),"",Q59)</f>
        <v/>
      </c>
      <c r="S59" s="1" t="str">
        <f aca="false">IF(OR(S$14="",$E59=""),"",R59)</f>
        <v/>
      </c>
      <c r="T59" s="1" t="str">
        <f aca="false">IF(OR(T$14="",$E59=""),"",S59)</f>
        <v/>
      </c>
      <c r="U59" s="1" t="str">
        <f aca="false">IF(OR(U$14="",$E59=""),"",T59)</f>
        <v/>
      </c>
      <c r="V59" s="1" t="str">
        <f aca="false">IF(OR(V$14="",$E59=""),"",U59)</f>
        <v/>
      </c>
      <c r="W59" s="1" t="str">
        <f aca="false">IF(OR(W$14="",$E59=""),"",V59)</f>
        <v/>
      </c>
      <c r="X59" s="1" t="str">
        <f aca="false">IF(OR(X$14="",$E59=""),"",W59)</f>
        <v/>
      </c>
      <c r="Y59" s="1" t="str">
        <f aca="false">IF(OR(Y$14="",$E59=""),"",X59)</f>
        <v/>
      </c>
      <c r="Z59" s="1" t="str">
        <f aca="false">IF(OR(Z$14="",$E59=""),"",Y59)</f>
        <v/>
      </c>
      <c r="AA59" s="1" t="str">
        <f aca="false">IF(OR(AA$14="",$E59=""),"",Z59)</f>
        <v/>
      </c>
      <c r="AB59" s="1" t="str">
        <f aca="false">IF(OR(AB$14="",$E59=""),"",AA59)</f>
        <v/>
      </c>
      <c r="AC59" s="1" t="str">
        <f aca="false">IF(OR(AC$14="",$E59=""),"",AB59)</f>
        <v/>
      </c>
      <c r="AD59" s="1" t="str">
        <f aca="false">IF(OR(AD$14="",$E59=""),"",AC59)</f>
        <v/>
      </c>
    </row>
    <row r="64" customFormat="false" ht="13.2" hidden="false" customHeight="false" outlineLevel="0" collapsed="false">
      <c r="D64" s="0" t="str">
        <f aca="false">IF(A64&lt;&gt;"","Planned","")</f>
        <v/>
      </c>
    </row>
  </sheetData>
  <conditionalFormatting sqref="G19:AD27 J15:AD18 A19:F19 A21:F58 G39:AD58 G28:K37 R28:AD28 G38:L38 S29:AD38">
    <cfRule type="expression" priority="2" aboveAverage="0" equalAverage="0" bottom="0" percent="0" rank="0" text="" dxfId="0">
      <formula>$D7="Done"</formula>
    </cfRule>
    <cfRule type="expression" priority="3" aboveAverage="0" equalAverage="0" bottom="0" percent="0" rank="0" text="" dxfId="1">
      <formula>$D7="Ongoing"</formula>
    </cfRule>
  </conditionalFormatting>
  <conditionalFormatting sqref="A15:I18">
    <cfRule type="expression" priority="4" aboveAverage="0" equalAverage="0" bottom="0" percent="0" rank="0" text="" dxfId="2">
      <formula>$D15="Done"</formula>
    </cfRule>
    <cfRule type="expression" priority="5" aboveAverage="0" equalAverage="0" bottom="0" percent="0" rank="0" text="" dxfId="3">
      <formula>$D15="Ongoing"</formula>
    </cfRule>
  </conditionalFormatting>
  <conditionalFormatting sqref="A20:F20">
    <cfRule type="expression" priority="6" aboveAverage="0" equalAverage="0" bottom="0" percent="0" rank="0" text="" dxfId="4">
      <formula>$D16="Done"</formula>
    </cfRule>
    <cfRule type="expression" priority="7" aboveAverage="0" equalAverage="0" bottom="0" percent="0" rank="0" text="" dxfId="5">
      <formula>$D16="Ongoing"</formula>
    </cfRule>
  </conditionalFormatting>
  <conditionalFormatting sqref="M29:R38">
    <cfRule type="expression" priority="8" aboveAverage="0" equalAverage="0" bottom="0" percent="0" rank="0" text="" dxfId="0">
      <formula>$D21="Done"</formula>
    </cfRule>
    <cfRule type="expression" priority="9" aboveAverage="0" equalAverage="0" bottom="0" percent="0" rank="0" text="" dxfId="1">
      <formula>$D21="Ongoing"</formula>
    </cfRule>
  </conditionalFormatting>
  <dataValidations count="1">
    <dataValidation allowBlank="true" operator="between" showDropDown="false" showErrorMessage="false" showInputMessage="false" sqref="D3:D8 D15:D64" type="list">
      <formula1>"Planned,Ongoing,Done"</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6.xml><?xml version="1.0" encoding="utf-8"?>
<worksheet xmlns="http://schemas.openxmlformats.org/spreadsheetml/2006/main" xmlns:r="http://schemas.openxmlformats.org/officeDocument/2006/relationships">
  <sheetPr filterMode="false">
    <pageSetUpPr fitToPage="true"/>
  </sheetPr>
  <dimension ref="A1:F30"/>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A1" activeCellId="0" sqref="A1"/>
    </sheetView>
  </sheetViews>
  <sheetFormatPr defaultRowHeight="13.2" zeroHeight="false" outlineLevelRow="0" outlineLevelCol="0"/>
  <cols>
    <col collapsed="false" customWidth="true" hidden="false" outlineLevel="0" max="3" min="1" style="43" width="9.11"/>
    <col collapsed="false" customWidth="true" hidden="false" outlineLevel="0" max="4" min="4" style="43" width="32.66"/>
    <col collapsed="false" customWidth="true" hidden="false" outlineLevel="0" max="5" min="5" style="43" width="9.11"/>
    <col collapsed="false" customWidth="true" hidden="false" outlineLevel="0" max="6" min="6" style="43" width="32.66"/>
    <col collapsed="false" customWidth="true" hidden="false" outlineLevel="0" max="1025" min="7" style="43" width="9.11"/>
  </cols>
  <sheetData>
    <row r="1" customFormat="false" ht="13.2" hidden="false" customHeight="false" outlineLevel="0" collapsed="false">
      <c r="A1" s="82" t="s">
        <v>138</v>
      </c>
      <c r="B1" s="83" t="n">
        <v>1</v>
      </c>
      <c r="C1" s="84" t="s">
        <v>139</v>
      </c>
      <c r="D1" s="85" t="s">
        <v>140</v>
      </c>
      <c r="E1" s="85"/>
      <c r="F1" s="86"/>
    </row>
    <row r="2" customFormat="false" ht="13.2" hidden="false" customHeight="false" outlineLevel="0" collapsed="false">
      <c r="A2" s="87" t="s">
        <v>141</v>
      </c>
      <c r="B2" s="88" t="s">
        <v>142</v>
      </c>
      <c r="C2" s="88"/>
      <c r="D2" s="88"/>
      <c r="E2" s="88"/>
      <c r="F2" s="89"/>
    </row>
    <row r="3" customFormat="false" ht="13.2" hidden="false" customHeight="false" outlineLevel="0" collapsed="false">
      <c r="A3" s="90"/>
      <c r="B3" s="91"/>
      <c r="C3" s="91"/>
      <c r="D3" s="91"/>
      <c r="E3" s="91"/>
      <c r="F3" s="92"/>
    </row>
    <row r="4" customFormat="false" ht="13.2" hidden="false" customHeight="false" outlineLevel="0" collapsed="false">
      <c r="A4" s="93"/>
      <c r="B4" s="94"/>
      <c r="C4" s="94"/>
      <c r="D4" s="94"/>
      <c r="E4" s="94"/>
      <c r="F4" s="95"/>
    </row>
    <row r="5" customFormat="false" ht="13.2" hidden="false" customHeight="false" outlineLevel="0" collapsed="false">
      <c r="A5" s="96" t="str">
        <f aca="false">CONCATENATE("Responsible Person: ",Sp1!C15)</f>
        <v>Responsible Person: Julia McDowell</v>
      </c>
      <c r="B5" s="97"/>
      <c r="C5" s="97"/>
      <c r="D5" s="97"/>
      <c r="E5" s="97"/>
      <c r="F5" s="98"/>
    </row>
    <row r="6" customFormat="false" ht="26.4" hidden="false" customHeight="false" outlineLevel="0" collapsed="false">
      <c r="A6" s="99" t="s">
        <v>143</v>
      </c>
      <c r="B6" s="100" t="n">
        <v>5</v>
      </c>
      <c r="C6" s="101" t="s">
        <v>144</v>
      </c>
      <c r="D6" s="102"/>
      <c r="E6" s="101" t="s">
        <v>145</v>
      </c>
      <c r="F6" s="103"/>
    </row>
    <row r="9" customFormat="false" ht="13.2" hidden="false" customHeight="false" outlineLevel="0" collapsed="false">
      <c r="A9" s="82" t="s">
        <v>138</v>
      </c>
      <c r="B9" s="83" t="n">
        <v>1</v>
      </c>
      <c r="C9" s="84" t="s">
        <v>139</v>
      </c>
      <c r="D9" s="85" t="s">
        <v>140</v>
      </c>
      <c r="E9" s="85"/>
      <c r="F9" s="86"/>
    </row>
    <row r="10" customFormat="false" ht="13.2" hidden="false" customHeight="false" outlineLevel="0" collapsed="false">
      <c r="A10" s="87" t="s">
        <v>141</v>
      </c>
      <c r="B10" s="88" t="s">
        <v>146</v>
      </c>
      <c r="C10" s="88"/>
      <c r="D10" s="88"/>
      <c r="E10" s="88"/>
      <c r="F10" s="89"/>
    </row>
    <row r="11" customFormat="false" ht="13.2" hidden="false" customHeight="false" outlineLevel="0" collapsed="false">
      <c r="A11" s="90"/>
      <c r="B11" s="91"/>
      <c r="C11" s="91"/>
      <c r="D11" s="91"/>
      <c r="E11" s="91"/>
      <c r="F11" s="92"/>
    </row>
    <row r="12" customFormat="false" ht="13.2" hidden="false" customHeight="false" outlineLevel="0" collapsed="false">
      <c r="A12" s="93"/>
      <c r="B12" s="94"/>
      <c r="C12" s="94"/>
      <c r="D12" s="94"/>
      <c r="E12" s="94"/>
      <c r="F12" s="95"/>
    </row>
    <row r="13" customFormat="false" ht="13.2" hidden="false" customHeight="false" outlineLevel="0" collapsed="false">
      <c r="A13" s="96" t="str">
        <f aca="false">CONCATENATE("Responsible Person: ",Sp1!C16)</f>
        <v>Responsible Person: Julia McDowell &amp; Carly Ryan</v>
      </c>
      <c r="B13" s="97"/>
      <c r="C13" s="97"/>
      <c r="D13" s="97"/>
      <c r="E13" s="97"/>
      <c r="F13" s="98"/>
    </row>
    <row r="14" customFormat="false" ht="26.4" hidden="false" customHeight="false" outlineLevel="0" collapsed="false">
      <c r="A14" s="99" t="s">
        <v>143</v>
      </c>
      <c r="B14" s="100" t="n">
        <v>7</v>
      </c>
      <c r="C14" s="101" t="s">
        <v>144</v>
      </c>
      <c r="D14" s="102"/>
      <c r="E14" s="101" t="s">
        <v>145</v>
      </c>
      <c r="F14" s="103"/>
    </row>
    <row r="17" customFormat="false" ht="13.2" hidden="false" customHeight="false" outlineLevel="0" collapsed="false">
      <c r="A17" s="82" t="s">
        <v>138</v>
      </c>
      <c r="B17" s="83" t="n">
        <v>2</v>
      </c>
      <c r="C17" s="84" t="s">
        <v>139</v>
      </c>
      <c r="D17" s="85" t="s">
        <v>147</v>
      </c>
      <c r="E17" s="85"/>
      <c r="F17" s="86"/>
    </row>
    <row r="18" customFormat="false" ht="13.2" hidden="false" customHeight="false" outlineLevel="0" collapsed="false">
      <c r="A18" s="87" t="s">
        <v>141</v>
      </c>
      <c r="B18" s="88" t="s">
        <v>148</v>
      </c>
      <c r="C18" s="88"/>
      <c r="D18" s="88"/>
      <c r="E18" s="88"/>
      <c r="F18" s="89"/>
    </row>
    <row r="19" customFormat="false" ht="13.2" hidden="false" customHeight="false" outlineLevel="0" collapsed="false">
      <c r="A19" s="90"/>
      <c r="B19" s="91"/>
      <c r="C19" s="91"/>
      <c r="D19" s="91"/>
      <c r="E19" s="91"/>
      <c r="F19" s="92"/>
    </row>
    <row r="20" customFormat="false" ht="13.2" hidden="false" customHeight="false" outlineLevel="0" collapsed="false">
      <c r="A20" s="93"/>
      <c r="B20" s="94"/>
      <c r="C20" s="94"/>
      <c r="D20" s="94"/>
      <c r="E20" s="94"/>
      <c r="F20" s="95"/>
    </row>
    <row r="21" customFormat="false" ht="13.2" hidden="false" customHeight="false" outlineLevel="0" collapsed="false">
      <c r="A21" s="96" t="str">
        <f aca="false">CONCATENATE("Responsible Person: ",Sp1!C17)</f>
        <v>Responsible Person: Cedric Stephani/Hugo Baird</v>
      </c>
      <c r="B21" s="97"/>
      <c r="C21" s="97"/>
      <c r="D21" s="97"/>
      <c r="E21" s="97"/>
      <c r="F21" s="98"/>
    </row>
    <row r="22" customFormat="false" ht="26.4" hidden="false" customHeight="false" outlineLevel="0" collapsed="false">
      <c r="A22" s="99" t="s">
        <v>143</v>
      </c>
      <c r="B22" s="100" t="n">
        <v>12</v>
      </c>
      <c r="C22" s="101" t="s">
        <v>144</v>
      </c>
      <c r="D22" s="102"/>
      <c r="E22" s="101" t="s">
        <v>145</v>
      </c>
      <c r="F22" s="103"/>
    </row>
    <row r="25" customFormat="false" ht="13.2" hidden="false" customHeight="false" outlineLevel="0" collapsed="false">
      <c r="A25" s="82" t="s">
        <v>138</v>
      </c>
      <c r="B25" s="83" t="n">
        <v>2</v>
      </c>
      <c r="C25" s="84" t="s">
        <v>139</v>
      </c>
      <c r="D25" s="85" t="s">
        <v>147</v>
      </c>
      <c r="E25" s="85"/>
      <c r="F25" s="86"/>
    </row>
    <row r="26" customFormat="false" ht="13.2" hidden="false" customHeight="false" outlineLevel="0" collapsed="false">
      <c r="A26" s="87" t="s">
        <v>141</v>
      </c>
      <c r="B26" s="88" t="s">
        <v>149</v>
      </c>
      <c r="C26" s="88"/>
      <c r="D26" s="88"/>
      <c r="E26" s="88"/>
      <c r="F26" s="89"/>
    </row>
    <row r="27" customFormat="false" ht="13.2" hidden="false" customHeight="false" outlineLevel="0" collapsed="false">
      <c r="A27" s="90"/>
      <c r="B27" s="91"/>
      <c r="C27" s="91"/>
      <c r="D27" s="91"/>
      <c r="E27" s="91"/>
      <c r="F27" s="92"/>
    </row>
    <row r="28" customFormat="false" ht="13.2" hidden="false" customHeight="false" outlineLevel="0" collapsed="false">
      <c r="A28" s="93"/>
      <c r="B28" s="94"/>
      <c r="C28" s="94"/>
      <c r="D28" s="94"/>
      <c r="E28" s="94"/>
      <c r="F28" s="95"/>
    </row>
    <row r="29" customFormat="false" ht="13.2" hidden="false" customHeight="false" outlineLevel="0" collapsed="false">
      <c r="A29" s="96" t="str">
        <f aca="false">CONCATENATE("Responsible Person: ",Sp1!C18)</f>
        <v>Responsible Person: Leon Hoogenraad</v>
      </c>
      <c r="B29" s="97"/>
      <c r="C29" s="97"/>
      <c r="D29" s="97"/>
      <c r="E29" s="97"/>
      <c r="F29" s="98"/>
    </row>
    <row r="30" customFormat="false" ht="26.4" hidden="false" customHeight="false" outlineLevel="0" collapsed="false">
      <c r="A30" s="99" t="s">
        <v>143</v>
      </c>
      <c r="B30" s="100" t="n">
        <v>9</v>
      </c>
      <c r="C30" s="101" t="s">
        <v>144</v>
      </c>
      <c r="D30" s="102"/>
      <c r="E30" s="101" t="s">
        <v>145</v>
      </c>
      <c r="F30" s="103"/>
    </row>
  </sheetData>
  <printOptions headings="false" gridLines="false" gridLinesSet="true" horizontalCentered="false" verticalCentered="false"/>
  <pageMargins left="0.196527777777778" right="0.196527777777778" top="0.196527777777778" bottom="0.196527777777778" header="0.511805555555555" footer="0.511805555555555"/>
  <pageSetup paperSize="9" scale="100" firstPageNumber="0" fitToWidth="1" fitToHeight="100"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42</TotalTime>
  <Application>LibreOffice/6.0.7.3$Linux_X86_64 LibreOffice_project/00m0$Build-3</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1998-06-05T11:20:44Z</dcterms:created>
  <dc:creator>&lt; Your name &gt;</dc:creator>
  <dc:description>Template versio 1.0 Approval</dc:description>
  <dc:language>en-NZ</dc:language>
  <cp:lastModifiedBy/>
  <dcterms:modified xsi:type="dcterms:W3CDTF">2020-04-06T14:42:49Z</dcterms:modified>
  <cp:revision>10</cp:revision>
  <dc:subject/>
  <dc:title>Iteration Plans</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0x010100ECEEF0CE1F6D7947AAF27832466D85D0</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y fmtid="{D5CDD505-2E9C-101B-9397-08002B2CF9AE}" pid="9" name="_NewReviewCycle">
    <vt:lpwstr/>
  </property>
</Properties>
</file>