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89C24E79-8FAE-4CFF-B870-DC1BAF935DAE}" xr6:coauthVersionLast="45" xr6:coauthVersionMax="45" xr10:uidLastSave="{00000000-0000-0000-0000-000000000000}"/>
  <bookViews>
    <workbookView xWindow="-108" yWindow="-108" windowWidth="23256" windowHeight="12576" tabRatio="500" activeTab="2"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F18" i="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41" i="3"/>
  <c r="N47" i="3"/>
  <c r="N34" i="3"/>
  <c r="N33" i="3"/>
  <c r="N46" i="3"/>
  <c r="N28" i="3"/>
  <c r="N31" i="3"/>
  <c r="N40" i="3"/>
  <c r="N29" i="3"/>
  <c r="N44" i="3"/>
  <c r="N32" i="3"/>
  <c r="N36" i="3"/>
  <c r="N37" i="3"/>
  <c r="N45" i="3"/>
  <c r="N35" i="3"/>
  <c r="N39" i="3"/>
  <c r="N48" i="3"/>
  <c r="N43" i="3"/>
  <c r="N50" i="3"/>
  <c r="N30" i="3"/>
  <c r="N51" i="3"/>
  <c r="N38" i="3"/>
  <c r="N49"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L35" i="3" l="1"/>
  <c r="L51" i="3"/>
  <c r="L50" i="3"/>
  <c r="L46" i="3"/>
  <c r="L44" i="3"/>
  <c r="L31" i="3"/>
  <c r="L48" i="3"/>
  <c r="L49" i="3"/>
  <c r="L45" i="3"/>
  <c r="L38" i="3"/>
  <c r="L34" i="3"/>
  <c r="L29" i="3"/>
  <c r="L33" i="3"/>
  <c r="L28" i="3"/>
  <c r="M28" i="3" s="1"/>
  <c r="L43" i="3"/>
  <c r="L36" i="3"/>
  <c r="L37" i="3"/>
  <c r="L41" i="3"/>
  <c r="L47" i="3"/>
  <c r="L32" i="3"/>
  <c r="L39" i="3"/>
  <c r="L40" i="3"/>
  <c r="L42" i="3"/>
  <c r="L30" i="3"/>
  <c r="O14" i="7"/>
  <c r="N58" i="7"/>
  <c r="N11" i="7"/>
  <c r="N57" i="7"/>
  <c r="G36" i="3"/>
  <c r="K36" i="3"/>
  <c r="F37" i="3"/>
  <c r="B38" i="3"/>
  <c r="I37" i="3"/>
  <c r="H37" i="3" s="1"/>
  <c r="E37" i="3"/>
  <c r="L11" i="5"/>
  <c r="L57" i="5"/>
  <c r="M14" i="5"/>
  <c r="L58" i="5"/>
  <c r="J63" i="4"/>
  <c r="J11" i="4"/>
  <c r="J62" i="4"/>
  <c r="K14" i="4"/>
  <c r="B26" i="1"/>
  <c r="D25" i="1"/>
  <c r="A25" i="1"/>
  <c r="E25" i="1" s="1"/>
  <c r="K30" i="3"/>
  <c r="G30" i="3"/>
  <c r="M36" i="3" l="1"/>
  <c r="M35" i="3"/>
  <c r="M51" i="3"/>
  <c r="M43" i="3"/>
  <c r="M34" i="3"/>
  <c r="M42" i="3"/>
  <c r="M48" i="3"/>
  <c r="M39" i="3"/>
  <c r="M46" i="3"/>
  <c r="M38" i="3"/>
  <c r="M47" i="3"/>
  <c r="M50" i="3"/>
  <c r="M44" i="3"/>
  <c r="M33" i="3"/>
  <c r="M45" i="3"/>
  <c r="M40" i="3"/>
  <c r="M32" i="3"/>
  <c r="M29" i="3"/>
  <c r="D12" i="3" s="1"/>
  <c r="M49" i="3"/>
  <c r="M41" i="3"/>
  <c r="M37" i="3"/>
  <c r="M31" i="3"/>
  <c r="M30" i="3"/>
  <c r="P14" i="7"/>
  <c r="O58" i="7"/>
  <c r="O57" i="7"/>
  <c r="O11" i="7"/>
  <c r="D26" i="1"/>
  <c r="A26" i="1"/>
  <c r="E26" i="1" s="1"/>
  <c r="B27" i="1"/>
  <c r="K37" i="3"/>
  <c r="G37" i="3"/>
  <c r="M57" i="5"/>
  <c r="M58" i="5"/>
  <c r="M11" i="5"/>
  <c r="N14" i="5"/>
  <c r="K63" i="4"/>
  <c r="K11" i="4"/>
  <c r="L14" i="4"/>
  <c r="K62" i="4"/>
  <c r="B39" i="3"/>
  <c r="I38" i="3"/>
  <c r="H38" i="3" s="1"/>
  <c r="F38" i="3"/>
  <c r="E38" i="3"/>
  <c r="G9" i="3" l="1"/>
  <c r="D22" i="3"/>
  <c r="Q14" i="7"/>
  <c r="P58" i="7"/>
  <c r="P57" i="7"/>
  <c r="P11" i="7"/>
  <c r="D27" i="1"/>
  <c r="A27" i="1"/>
  <c r="E27" i="1" s="1"/>
  <c r="B28" i="1"/>
  <c r="B40" i="3"/>
  <c r="I39" i="3"/>
  <c r="H39" i="3" s="1"/>
  <c r="F39" i="3"/>
  <c r="E39" i="3"/>
  <c r="L62" i="4"/>
  <c r="M14" i="4"/>
  <c r="L63" i="4"/>
  <c r="L11" i="4"/>
  <c r="O14" i="5"/>
  <c r="N58" i="5"/>
  <c r="N11" i="5"/>
  <c r="N57" i="5"/>
  <c r="G38" i="3"/>
  <c r="K38" i="3"/>
  <c r="G3" i="3"/>
  <c r="G19" i="3" l="1"/>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<sst xmlns="http://schemas.openxmlformats.org/spreadsheetml/2006/main" count="283" uniqueCount="159">
  <si>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</si>
  <si>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</si>
  <si>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</si>
  <si>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</si>
  <si>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</si>
  <si>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</si>
  <si>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</si>
  <si>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</si>
  <si>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</si>
  <si>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</si>
  <si>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</si>
  <si>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</si>
  <si>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</si>
  <si>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</si>
  <si>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</si>
  <si>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</si>
  <si>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</si>
  <si>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</si>
  <si>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</si>
  <si>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</si>
  <si>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</si>
  <si>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</si>
  <si>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</si>
  <si>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</si>
  <si>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</si>
  <si>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</si>
  <si>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</si>
  <si>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</si>
  <si>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</si>
  <si>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</si>
  <si>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</si>
  <si>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</si>
  <si>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</si>
  <si>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</si>
  <si>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</si>
  <si>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</si>
  <si>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</si>
  <si>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</si>
  <si>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</si>
  <si>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</si>
  <si>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</si>
  <si>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</si>
  <si>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</si>
  <si>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</si>
  <si>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</si>
  <si>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</si>
  <si>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</si>
  <si>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</si>
  <si>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</si>
  <si>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</si>
  <si>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</si>
  <si>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</si>
  <si>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</si>
  <si>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</si>
  <si>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</si>
  <si>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</si>
  <si>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</si>
  <si>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</si>
  <si>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</si>
  <si>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</si>
  <si>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</si>
  <si>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</si>
  <si>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</si>
  <si>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</si>
  <si>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</si>
  <si>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</si>
  <si>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</si>
  <si>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</si>
  <si>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</si>
  <si>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</si>
  <si>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</si>
  <si>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</si>
  <si>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</si>
  <si>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</si>
  <si>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</si>
  <si>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</si>
  <si>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</si>
  <si>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</si>
  <si>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</si>
  <si>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</si>
  <si>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</si>
  <si>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</si>
  <si>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</si>
  <si>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</si>
  <si>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</si>
  <si>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</si>
  <si>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</si>
  <si>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</si>
  <si>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</si>
  <si>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</si>
  <si>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</si>
  <si>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</si>
  <si>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</si>
  <si>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</si>
  <si>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</si>
  <si>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</si>
  <si>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</si>
  <si>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</si>
  <si>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</si>
  <si>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</si>
  <si>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</si>
  <si>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</si>
  <si>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</si>
  <si>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</si>
  <si>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</si>
  <si>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</si>
  <si>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</si>
  <si>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</si>
  <si>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</si>
  <si>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</si>
  <si>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</si>
  <si>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</si>
  <si>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</si>
  <si>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</si>
  <si>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</si>
  <si>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</si>
  <si>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</si>
  <si>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</si>
  <si>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</si>
  <si>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</si>
  <si>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</si>
  <si>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</si>
  <si>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</si>
  <si>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</si>
  <si>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</si>
  <si>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</si>
  <si>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</si>
  <si>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</si>
  <si>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</si>
  <si>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</si>
  <si>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</si>
  <si>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</si>
  <si>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</si>
  <si>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</si>
  <si>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</si>
  <si>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</si>
  <si>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</si>
  <si>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</si>
  <si>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</si>
  <si>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</si>
  <si>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</si>
  <si>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</si>
  <si>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</si>
  <si>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</si>
  <si>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</si>
  <si>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</si>
  <si>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</si>
  <si>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</si>
  <si>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</si>
  <si>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</si>
  <si>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</si>
  <si>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</si>
  <si>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</si>
  <si>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</si>
  <si>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</si>
  <si>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</si>
  <si>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</si>
  <si>
    <t>Julia McDowell &amp; Hugo Baird</t>
  </si>
  <si>
    <t>Released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</si>
</sst>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31</c:v>
                </c:pt>
                <c:pt idx="4">
                  <c:v>23</c:v>
                </c:pt>
                <c:pt idx="5">
                  <c:v>19</c:v>
                </c:pt>
                <c:pt idx="6">
                  <c:v>18</c:v>
                </c:pt>
                <c:pt idx="7">
                  <c:v>11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45.5</c:v>
                </c:pt>
                <c:pt idx="1">
                  <c:v>40.571428571428577</c:v>
                </c:pt>
                <c:pt idx="2">
                  <c:v>35.642857142857146</c:v>
                </c:pt>
                <c:pt idx="3">
                  <c:v>30.714285714285719</c:v>
                </c:pt>
                <c:pt idx="4">
                  <c:v>25.785714285714292</c:v>
                </c:pt>
                <c:pt idx="5">
                  <c:v>20.857142857142861</c:v>
                </c:pt>
                <c:pt idx="6">
                  <c:v>15.928571428571438</c:v>
                </c:pt>
                <c:pt idx="7">
                  <c:v>11.000000000000007</c:v>
                </c:pt>
                <c:pt idx="8">
                  <c:v>6.0714285714285765</c:v>
                </c:pt>
                <c:pt idx="9">
                  <c:v>1.142857142857153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topLeftCell="A5" zoomScaleNormal="100" workbookViewId="0">
      <selection activeCell="G20" sqref="G20"/>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158</v>
      </c>
      <c r="G16" s="29">
        <v>43948</v>
      </c>
      <c r="H16" s="32" t="s">
        <v>14</v>
      </c>
      <c r="I16" s="33">
        <v>1</v>
      </c>
    </row>
    <row r="17" spans="1:9" x14ac:dyDescent="0.25">
      <c r="A17" s="12">
        <v>2</v>
      </c>
      <c r="B17" s="31">
        <f>IF(AND(B16&lt;&gt;"",C16&lt;&gt;"",C17&lt;&gt;""),B16+C16,"")</f>
        <v>43941</v>
      </c>
      <c r="C17" s="30">
        <v>14</v>
      </c>
      <c r="D17" s="31">
        <f>IF(AND(B17&lt;&gt;"",C17&lt;&gt;""),B17+C17-1,"")</f>
        <v>43954</v>
      </c>
      <c r="E17" s="12">
        <v>44</v>
      </c>
      <c r="F17" s="13" t="s">
        <v>25</v>
      </c>
      <c r="G17" s="30"/>
      <c r="H17" s="34" t="s">
        <v>15</v>
      </c>
      <c r="I17" s="35">
        <v>2</v>
      </c>
    </row>
    <row r="18" spans="1:9" x14ac:dyDescent="0.25">
      <c r="A18" s="12">
        <v>3</v>
      </c>
      <c r="B18" s="31">
        <f>IF(AND(B17&lt;&gt;"",C17&lt;&gt;"",C18&lt;&gt;""),B17+C17,"")</f>
        <v>43955</v>
      </c>
      <c r="C18" s="30">
        <v>14</v>
      </c>
      <c r="D18" s="31">
        <f>IF(AND(B18&lt;&gt;"",C18&lt;&gt;""),B18+C18-1,"")</f>
        <v>43968</v>
      </c>
      <c r="E18" s="12">
        <v>40</v>
      </c>
      <c r="F18" s="13" t="str">
        <f>IF(AND(OR(F17="Planned",F17="Ongoing"),C18&lt;&gt;""),"Planned","Unplanned")</f>
        <v>Planned</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15" activePane="bottomLeft" state="frozen"/>
      <selection pane="bottomLeft" activeCell="B51" sqref="B5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abSelected="1" topLeftCell="A13" zoomScaleNormal="100" workbookViewId="0">
      <selection activeCell="E30" sqref="E30"/>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2</v>
      </c>
    </row>
    <row r="5" spans="1:26" x14ac:dyDescent="0.25">
      <c r="F5" t="s">
        <v>67</v>
      </c>
      <c r="G5" s="51">
        <f>IF(G4&gt;D4,G4-D4,0)</f>
        <v>0</v>
      </c>
      <c r="Z5" s="26" t="s">
        <v>68</v>
      </c>
    </row>
    <row r="6" spans="1:26" x14ac:dyDescent="0.25">
      <c r="A6" s="8" t="s">
        <v>69</v>
      </c>
      <c r="F6" t="s">
        <v>70</v>
      </c>
      <c r="G6" s="51">
        <f>TrendSprintCount-TrendOffset</f>
        <v>2</v>
      </c>
      <c r="Z6" s="26" t="s">
        <v>71</v>
      </c>
    </row>
    <row r="7" spans="1:26" x14ac:dyDescent="0.25">
      <c r="A7" t="s">
        <v>72</v>
      </c>
      <c r="D7">
        <v>30</v>
      </c>
      <c r="Z7" s="26" t="s">
        <v>73</v>
      </c>
    </row>
    <row r="8" spans="1:26" x14ac:dyDescent="0.25">
      <c r="A8" s="102">
        <f>D$4</f>
        <v>3</v>
      </c>
      <c r="B8" s="102"/>
      <c r="D8" s="52">
        <f ca="1">IF(D28="","",AVERAGE(OFFSET(D27,TrendOffset,0,SprintsInTrend,1)))</f>
        <v>47</v>
      </c>
      <c r="Z8" s="26" t="s">
        <v>74</v>
      </c>
    </row>
    <row r="9" spans="1:26" x14ac:dyDescent="0.25">
      <c r="A9" t="s">
        <v>75</v>
      </c>
      <c r="D9" s="52">
        <f ca="1">IF(D28="","",AVERAGE(OFFSET(D27,1,0,SprintCount,1)))</f>
        <v>47</v>
      </c>
      <c r="F9" t="s">
        <v>76</v>
      </c>
      <c r="G9" s="51">
        <f ca="1">IF(M28="",1,COUNT(M28:M110))</f>
        <v>4</v>
      </c>
      <c r="Z9" s="26" t="s">
        <v>77</v>
      </c>
    </row>
    <row r="10" spans="1:26" x14ac:dyDescent="0.25">
      <c r="A10" t="s">
        <v>78</v>
      </c>
      <c r="D10" s="52">
        <f ca="1">IF(D28="","",AVERAGE(LastEight))</f>
        <v>47</v>
      </c>
      <c r="Z10" s="26" t="s">
        <v>79</v>
      </c>
    </row>
    <row r="11" spans="1:26" x14ac:dyDescent="0.25">
      <c r="A11" t="s">
        <v>80</v>
      </c>
      <c r="D11" s="52">
        <f ca="1">IF(D28="","",IF(TrendSprintCount&lt;4,D10,AVERAGE(SMALL(LastEight,1),SMALL(LastEight,2),SMALL(LastEight,3))))</f>
        <v>47</v>
      </c>
      <c r="Z11" s="26" t="s">
        <v>81</v>
      </c>
    </row>
    <row r="12" spans="1:26" x14ac:dyDescent="0.25">
      <c r="A12" t="s">
        <v>82</v>
      </c>
      <c r="D12" s="52">
        <f ca="1">IF(M29="","",M28-M29)</f>
        <v>47</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131</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124</v>
      </c>
      <c r="M28" s="51">
        <f ca="1">L28</f>
        <v>124</v>
      </c>
      <c r="N28" s="51">
        <f t="shared" ref="N28:N51" ca="1" si="4">OFFSET($I$27,TrendSprintCount,0,1,1)</f>
        <v>-7</v>
      </c>
      <c r="O28" s="63">
        <f t="shared" ref="O28:O51" ca="1" si="5">D$9</f>
        <v>47</v>
      </c>
      <c r="P28" s="63">
        <f t="shared" ref="P28:P51" ca="1" si="6">D$10</f>
        <v>47</v>
      </c>
      <c r="Q28" s="63">
        <f t="shared" ref="Q28:Q51" ca="1" si="7">D$11</f>
        <v>47</v>
      </c>
    </row>
    <row r="29" spans="1:17" x14ac:dyDescent="0.25">
      <c r="A29" s="62">
        <v>2</v>
      </c>
      <c r="B29" s="1">
        <v>84</v>
      </c>
      <c r="C29" s="1">
        <v>44</v>
      </c>
      <c r="D29" s="1"/>
      <c r="E29" s="62">
        <v>84</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v>
      </c>
      <c r="M29" s="51">
        <f t="shared" ref="M29:M51" ca="1" si="9">IF(L29=L28,"",L29)</f>
        <v>77</v>
      </c>
      <c r="N29" s="51">
        <f t="shared" ca="1" si="4"/>
        <v>-7</v>
      </c>
      <c r="O29" s="63">
        <f t="shared" ca="1" si="5"/>
        <v>47</v>
      </c>
      <c r="P29" s="63">
        <f t="shared" ca="1" si="6"/>
        <v>47</v>
      </c>
      <c r="Q29" s="63">
        <f t="shared" ca="1" si="7"/>
        <v>47</v>
      </c>
    </row>
    <row r="30" spans="1:17" x14ac:dyDescent="0.25">
      <c r="A30" s="62">
        <v>3</v>
      </c>
      <c r="B30" s="1">
        <v>44</v>
      </c>
      <c r="C30" s="1">
        <v>40</v>
      </c>
      <c r="D30" s="1"/>
      <c r="E30" s="62">
        <v>44</v>
      </c>
      <c r="F30" s="51">
        <f t="shared" si="8"/>
        <v>-7</v>
      </c>
      <c r="G30" s="51">
        <f t="shared" si="0"/>
        <v>-7</v>
      </c>
      <c r="H30" s="51">
        <f t="shared" si="1"/>
        <v>33</v>
      </c>
      <c r="I30" s="51">
        <f>IF(B30="",IF(B29="","",IF(D29="","",F29-D29)),IF(AND(C29="",D29=""),"",IF(AND(D29="",C29&lt;&gt;""),IF(I29&gt;F29,I29-C29,F29-C29),B$28-B30-SUM(D$28:D29))))</f>
        <v>33</v>
      </c>
      <c r="K30">
        <f t="shared" si="2"/>
        <v>33</v>
      </c>
      <c r="L30" s="51">
        <f t="shared" ca="1" si="3"/>
        <v>30</v>
      </c>
      <c r="M30" s="51">
        <f t="shared" ca="1" si="9"/>
        <v>30</v>
      </c>
      <c r="N30" s="51">
        <f t="shared" ca="1" si="4"/>
        <v>-7</v>
      </c>
      <c r="O30" s="63">
        <f t="shared" ca="1" si="5"/>
        <v>47</v>
      </c>
      <c r="P30" s="63">
        <f t="shared" ca="1" si="6"/>
        <v>47</v>
      </c>
      <c r="Q30" s="63">
        <f t="shared" ca="1" si="7"/>
        <v>47</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-7</v>
      </c>
      <c r="M31" s="51">
        <f t="shared" ca="1" si="9"/>
        <v>-7</v>
      </c>
      <c r="N31" s="51">
        <f t="shared" ca="1" si="4"/>
        <v>-7</v>
      </c>
      <c r="O31" s="63">
        <f t="shared" ca="1" si="5"/>
        <v>47</v>
      </c>
      <c r="P31" s="63">
        <f t="shared" ca="1" si="6"/>
        <v>47</v>
      </c>
      <c r="Q31" s="63">
        <f t="shared" ca="1" si="7"/>
        <v>47</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-7</v>
      </c>
      <c r="M32" s="51" t="str">
        <f t="shared" ca="1" si="9"/>
        <v/>
      </c>
      <c r="N32" s="51">
        <f t="shared" ca="1" si="4"/>
        <v>-7</v>
      </c>
      <c r="O32" s="63">
        <f t="shared" ca="1" si="5"/>
        <v>47</v>
      </c>
      <c r="P32" s="63">
        <f t="shared" ca="1" si="6"/>
        <v>47</v>
      </c>
      <c r="Q32" s="63">
        <f t="shared" ca="1" si="7"/>
        <v>47</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-7</v>
      </c>
      <c r="M33" s="51" t="str">
        <f t="shared" ca="1" si="9"/>
        <v/>
      </c>
      <c r="N33" s="51">
        <f t="shared" ca="1" si="4"/>
        <v>-7</v>
      </c>
      <c r="O33" s="63">
        <f t="shared" ca="1" si="5"/>
        <v>47</v>
      </c>
      <c r="P33" s="63">
        <f t="shared" ca="1" si="6"/>
        <v>47</v>
      </c>
      <c r="Q33" s="63">
        <f t="shared" ca="1" si="7"/>
        <v>47</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-7</v>
      </c>
      <c r="M34" s="51" t="str">
        <f t="shared" ca="1" si="9"/>
        <v/>
      </c>
      <c r="N34" s="51">
        <f t="shared" ca="1" si="4"/>
        <v>-7</v>
      </c>
      <c r="O34" s="63">
        <f t="shared" ca="1" si="5"/>
        <v>47</v>
      </c>
      <c r="P34" s="63">
        <f t="shared" ca="1" si="6"/>
        <v>47</v>
      </c>
      <c r="Q34" s="63">
        <f t="shared" ca="1" si="7"/>
        <v>47</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-7</v>
      </c>
      <c r="M35" s="51" t="str">
        <f t="shared" ca="1" si="9"/>
        <v/>
      </c>
      <c r="N35" s="51">
        <f t="shared" ca="1" si="4"/>
        <v>-7</v>
      </c>
      <c r="O35" s="63">
        <f t="shared" ca="1" si="5"/>
        <v>47</v>
      </c>
      <c r="P35" s="63">
        <f t="shared" ca="1" si="6"/>
        <v>47</v>
      </c>
      <c r="Q35" s="63">
        <f t="shared" ca="1" si="7"/>
        <v>47</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-7</v>
      </c>
      <c r="M36" s="51" t="str">
        <f t="shared" ca="1" si="9"/>
        <v/>
      </c>
      <c r="N36" s="51">
        <f t="shared" ca="1" si="4"/>
        <v>-7</v>
      </c>
      <c r="O36" s="63">
        <f t="shared" ca="1" si="5"/>
        <v>47</v>
      </c>
      <c r="P36" s="63">
        <f t="shared" ca="1" si="6"/>
        <v>47</v>
      </c>
      <c r="Q36" s="63">
        <f t="shared" ca="1" si="7"/>
        <v>47</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-7</v>
      </c>
      <c r="M37" s="51" t="str">
        <f t="shared" ca="1" si="9"/>
        <v/>
      </c>
      <c r="N37" s="51">
        <f t="shared" ca="1" si="4"/>
        <v>-7</v>
      </c>
      <c r="O37" s="63">
        <f t="shared" ca="1" si="5"/>
        <v>47</v>
      </c>
      <c r="P37" s="63">
        <f t="shared" ca="1" si="6"/>
        <v>47</v>
      </c>
      <c r="Q37" s="63">
        <f t="shared" ca="1" si="7"/>
        <v>47</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-7</v>
      </c>
      <c r="M38" s="51" t="str">
        <f t="shared" ca="1" si="9"/>
        <v/>
      </c>
      <c r="N38" s="51">
        <f t="shared" ca="1" si="4"/>
        <v>-7</v>
      </c>
      <c r="O38" s="63">
        <f t="shared" ca="1" si="5"/>
        <v>47</v>
      </c>
      <c r="P38" s="63">
        <f t="shared" ca="1" si="6"/>
        <v>47</v>
      </c>
      <c r="Q38" s="63">
        <f t="shared" ca="1" si="7"/>
        <v>47</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-7</v>
      </c>
      <c r="M39" s="51" t="str">
        <f t="shared" ca="1" si="9"/>
        <v/>
      </c>
      <c r="N39" s="51">
        <f t="shared" ca="1" si="4"/>
        <v>-7</v>
      </c>
      <c r="O39" s="63">
        <f t="shared" ca="1" si="5"/>
        <v>47</v>
      </c>
      <c r="P39" s="63">
        <f t="shared" ca="1" si="6"/>
        <v>47</v>
      </c>
      <c r="Q39" s="63">
        <f t="shared" ca="1" si="7"/>
        <v>47</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-7</v>
      </c>
      <c r="M40" s="51" t="str">
        <f t="shared" ca="1" si="9"/>
        <v/>
      </c>
      <c r="N40" s="51">
        <f t="shared" ca="1" si="4"/>
        <v>-7</v>
      </c>
      <c r="O40" s="63">
        <f t="shared" ca="1" si="5"/>
        <v>47</v>
      </c>
      <c r="P40" s="63">
        <f t="shared" ca="1" si="6"/>
        <v>47</v>
      </c>
      <c r="Q40" s="63">
        <f t="shared" ca="1" si="7"/>
        <v>47</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-7</v>
      </c>
      <c r="M41" s="51" t="str">
        <f t="shared" ca="1" si="9"/>
        <v/>
      </c>
      <c r="N41" s="51">
        <f t="shared" ca="1" si="4"/>
        <v>-7</v>
      </c>
      <c r="O41" s="63">
        <f t="shared" ca="1" si="5"/>
        <v>47</v>
      </c>
      <c r="P41" s="63">
        <f t="shared" ca="1" si="6"/>
        <v>47</v>
      </c>
      <c r="Q41" s="63">
        <f t="shared" ca="1" si="7"/>
        <v>47</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-7</v>
      </c>
      <c r="M42" s="51" t="str">
        <f t="shared" ca="1" si="9"/>
        <v/>
      </c>
      <c r="N42" s="51">
        <f t="shared" ca="1" si="4"/>
        <v>-7</v>
      </c>
      <c r="O42" s="63">
        <f t="shared" ca="1" si="5"/>
        <v>47</v>
      </c>
      <c r="P42" s="63">
        <f t="shared" ca="1" si="6"/>
        <v>47</v>
      </c>
      <c r="Q42" s="63">
        <f t="shared" ca="1" si="7"/>
        <v>47</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-7</v>
      </c>
      <c r="M43" s="51" t="str">
        <f t="shared" ca="1" si="9"/>
        <v/>
      </c>
      <c r="N43" s="51">
        <f t="shared" ca="1" si="4"/>
        <v>-7</v>
      </c>
      <c r="O43" s="63">
        <f t="shared" ca="1" si="5"/>
        <v>47</v>
      </c>
      <c r="P43" s="63">
        <f t="shared" ca="1" si="6"/>
        <v>47</v>
      </c>
      <c r="Q43" s="63">
        <f t="shared" ca="1" si="7"/>
        <v>47</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-7</v>
      </c>
      <c r="M44" s="51" t="str">
        <f t="shared" ca="1" si="9"/>
        <v/>
      </c>
      <c r="N44" s="51">
        <f t="shared" ca="1" si="4"/>
        <v>-7</v>
      </c>
      <c r="O44" s="63">
        <f t="shared" ca="1" si="5"/>
        <v>47</v>
      </c>
      <c r="P44" s="63">
        <f t="shared" ca="1" si="6"/>
        <v>47</v>
      </c>
      <c r="Q44" s="63">
        <f t="shared" ca="1" si="7"/>
        <v>47</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-7</v>
      </c>
      <c r="M45" s="51" t="str">
        <f t="shared" ca="1" si="9"/>
        <v/>
      </c>
      <c r="N45" s="51">
        <f t="shared" ca="1" si="4"/>
        <v>-7</v>
      </c>
      <c r="O45" s="63">
        <f t="shared" ca="1" si="5"/>
        <v>47</v>
      </c>
      <c r="P45" s="63">
        <f t="shared" ca="1" si="6"/>
        <v>47</v>
      </c>
      <c r="Q45" s="63">
        <f t="shared" ca="1" si="7"/>
        <v>47</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-7</v>
      </c>
      <c r="M46" s="51" t="str">
        <f t="shared" ca="1" si="9"/>
        <v/>
      </c>
      <c r="N46" s="51">
        <f t="shared" ca="1" si="4"/>
        <v>-7</v>
      </c>
      <c r="O46" s="63">
        <f t="shared" ca="1" si="5"/>
        <v>47</v>
      </c>
      <c r="P46" s="63">
        <f t="shared" ca="1" si="6"/>
        <v>47</v>
      </c>
      <c r="Q46" s="63">
        <f t="shared" ca="1" si="7"/>
        <v>47</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-7</v>
      </c>
      <c r="M47" s="51" t="str">
        <f t="shared" ca="1" si="9"/>
        <v/>
      </c>
      <c r="N47" s="51">
        <f t="shared" ca="1" si="4"/>
        <v>-7</v>
      </c>
      <c r="O47" s="63">
        <f t="shared" ca="1" si="5"/>
        <v>47</v>
      </c>
      <c r="P47" s="63">
        <f t="shared" ca="1" si="6"/>
        <v>47</v>
      </c>
      <c r="Q47" s="63">
        <f t="shared" ca="1" si="7"/>
        <v>47</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-7</v>
      </c>
      <c r="M48" s="51" t="str">
        <f t="shared" ca="1" si="9"/>
        <v/>
      </c>
      <c r="N48" s="51">
        <f t="shared" ca="1" si="4"/>
        <v>-7</v>
      </c>
      <c r="O48" s="63">
        <f t="shared" ca="1" si="5"/>
        <v>47</v>
      </c>
      <c r="P48" s="63">
        <f t="shared" ca="1" si="6"/>
        <v>47</v>
      </c>
      <c r="Q48" s="63">
        <f t="shared" ca="1" si="7"/>
        <v>47</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-7</v>
      </c>
      <c r="M49" s="51" t="str">
        <f t="shared" ca="1" si="9"/>
        <v/>
      </c>
      <c r="N49" s="51">
        <f t="shared" ca="1" si="4"/>
        <v>-7</v>
      </c>
      <c r="O49" s="63">
        <f t="shared" ca="1" si="5"/>
        <v>47</v>
      </c>
      <c r="P49" s="63">
        <f t="shared" ca="1" si="6"/>
        <v>47</v>
      </c>
      <c r="Q49" s="63">
        <f t="shared" ca="1" si="7"/>
        <v>47</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-7</v>
      </c>
      <c r="M50" s="51" t="str">
        <f t="shared" ca="1" si="9"/>
        <v/>
      </c>
      <c r="N50" s="51">
        <f t="shared" ca="1" si="4"/>
        <v>-7</v>
      </c>
      <c r="O50" s="63">
        <f t="shared" ca="1" si="5"/>
        <v>47</v>
      </c>
      <c r="P50" s="63">
        <f t="shared" ca="1" si="6"/>
        <v>47</v>
      </c>
      <c r="Q50" s="63">
        <f t="shared" ca="1" si="7"/>
        <v>47</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-7</v>
      </c>
      <c r="M51" s="51" t="str">
        <f t="shared" ca="1" si="9"/>
        <v/>
      </c>
      <c r="N51" s="51">
        <f t="shared" ca="1" si="4"/>
        <v>-7</v>
      </c>
      <c r="O51" s="63">
        <f t="shared" ca="1" si="5"/>
        <v>47</v>
      </c>
      <c r="P51" s="63">
        <f t="shared" ca="1" si="6"/>
        <v>47</v>
      </c>
      <c r="Q51" s="63">
        <f t="shared" ca="1" si="7"/>
        <v>47</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16" sqref="D16"/>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152</v>
      </c>
      <c r="D15" s="70" t="s">
        <v>150</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125</v>
      </c>
      <c r="D16" s="70" t="s">
        <v>150</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126</v>
      </c>
      <c r="B17" s="1">
        <v>4</v>
      </c>
      <c r="C17" s="70" t="s">
        <v>149</v>
      </c>
      <c r="D17" s="70" t="s">
        <v>150</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128</v>
      </c>
      <c r="B18" s="1">
        <v>8</v>
      </c>
      <c r="C18" s="70" t="s">
        <v>129</v>
      </c>
      <c r="D18" s="70" t="s">
        <v>150</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130</v>
      </c>
      <c r="B19" s="41">
        <v>11</v>
      </c>
      <c r="C19" s="70" t="s">
        <v>149</v>
      </c>
      <c r="D19" s="71" t="s">
        <v>150</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131</v>
      </c>
      <c r="B20" s="41">
        <v>13</v>
      </c>
      <c r="C20" s="70" t="s">
        <v>134</v>
      </c>
      <c r="D20" s="71" t="s">
        <v>150</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L19" sqref="L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132</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31</v>
      </c>
      <c r="J10" s="78">
        <f t="shared" ca="1" si="0"/>
        <v>23</v>
      </c>
      <c r="K10" s="78">
        <f t="shared" ca="1" si="0"/>
        <v>19</v>
      </c>
      <c r="L10" s="78">
        <f t="shared" ca="1" si="0"/>
        <v>18</v>
      </c>
      <c r="M10" s="78">
        <f t="shared" ca="1" si="0"/>
        <v>11</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45.5</v>
      </c>
      <c r="G12" s="1">
        <f t="shared" ca="1" si="3"/>
        <v>40.571428571428577</v>
      </c>
      <c r="H12" s="1">
        <f t="shared" ca="1" si="3"/>
        <v>35.642857142857146</v>
      </c>
      <c r="I12" s="1">
        <f t="shared" ca="1" si="3"/>
        <v>30.714285714285719</v>
      </c>
      <c r="J12" s="1">
        <f t="shared" ca="1" si="3"/>
        <v>25.785714285714292</v>
      </c>
      <c r="K12" s="1">
        <f t="shared" ca="1" si="3"/>
        <v>20.857142857142861</v>
      </c>
      <c r="L12" s="1">
        <f t="shared" ca="1" si="3"/>
        <v>15.928571428571438</v>
      </c>
      <c r="M12" s="1">
        <f t="shared" ca="1" si="3"/>
        <v>11.000000000000007</v>
      </c>
      <c r="N12" s="1">
        <f t="shared" ca="1" si="3"/>
        <v>6.0714285714285765</v>
      </c>
      <c r="O12" s="1">
        <f t="shared" ca="1" si="3"/>
        <v>1.142857142857153</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133</v>
      </c>
      <c r="D15" t="s">
        <v>150</v>
      </c>
      <c r="E15" s="1">
        <v>15</v>
      </c>
      <c r="F15" s="1">
        <f t="shared" ref="F15:F58" si="5">IF(OR(F$14="",$E15=""),"",E15)</f>
        <v>15</v>
      </c>
      <c r="G15" s="1">
        <v>13</v>
      </c>
      <c r="H15" s="1">
        <v>13</v>
      </c>
      <c r="I15" s="1">
        <v>5</v>
      </c>
      <c r="J15" s="1">
        <v>0</v>
      </c>
      <c r="K15" s="1">
        <v>0</v>
      </c>
      <c r="L15" s="1">
        <v>0</v>
      </c>
      <c r="M15" s="1">
        <v>0</v>
      </c>
      <c r="N15" s="1">
        <v>0</v>
      </c>
      <c r="O15" s="1">
        <v>0</v>
      </c>
      <c r="P15" s="1">
        <v>0</v>
      </c>
      <c r="Q15" s="1">
        <v>0</v>
      </c>
      <c r="R15" s="1">
        <v>0</v>
      </c>
      <c r="S15" s="1">
        <v>0</v>
      </c>
    </row>
    <row r="16" spans="1:30" x14ac:dyDescent="0.25">
      <c r="A16" s="70" t="s">
        <v>33</v>
      </c>
      <c r="B16" s="1">
        <v>5</v>
      </c>
      <c r="C16" s="70" t="s">
        <v>127</v>
      </c>
      <c r="D16" t="s">
        <v>25</v>
      </c>
      <c r="E16" s="1">
        <v>5</v>
      </c>
      <c r="F16" s="1">
        <f t="shared" si="5"/>
        <v>5</v>
      </c>
      <c r="G16" s="1">
        <v>5</v>
      </c>
      <c r="H16" s="1">
        <v>5</v>
      </c>
      <c r="I16" s="1">
        <v>5</v>
      </c>
      <c r="J16" s="1">
        <v>5</v>
      </c>
      <c r="K16" s="1">
        <v>5</v>
      </c>
      <c r="L16" s="1">
        <v>5</v>
      </c>
      <c r="M16" s="1">
        <v>4</v>
      </c>
      <c r="N16" s="1">
        <v>4</v>
      </c>
      <c r="O16" s="1">
        <v>4</v>
      </c>
      <c r="P16" s="1">
        <v>4</v>
      </c>
      <c r="Q16" s="1">
        <v>1</v>
      </c>
      <c r="R16" s="1">
        <v>1</v>
      </c>
      <c r="S16" s="1">
        <v>0</v>
      </c>
      <c r="AC16" s="1" t="str">
        <f t="shared" ref="AC16:AD19" si="6">IF(OR(AC$14="",$E16=""),"",AB16)</f>
        <v/>
      </c>
      <c r="AD16" s="1" t="str">
        <f t="shared" si="6"/>
        <v/>
      </c>
    </row>
    <row r="17" spans="1:30" x14ac:dyDescent="0.25">
      <c r="A17" s="70" t="s">
        <v>43</v>
      </c>
      <c r="B17" s="1">
        <v>10</v>
      </c>
      <c r="C17" s="70" t="s">
        <v>134</v>
      </c>
      <c r="D17" t="s">
        <v>25</v>
      </c>
      <c r="E17" s="1">
        <v>8</v>
      </c>
      <c r="F17" s="1">
        <f t="shared" si="5"/>
        <v>8</v>
      </c>
      <c r="G17" s="1">
        <v>8</v>
      </c>
      <c r="H17" s="1">
        <v>8</v>
      </c>
      <c r="I17" s="1">
        <v>8</v>
      </c>
      <c r="J17" s="1">
        <v>8</v>
      </c>
      <c r="K17" s="1">
        <v>8</v>
      </c>
      <c r="L17" s="1">
        <v>8</v>
      </c>
      <c r="M17" s="1">
        <v>5</v>
      </c>
      <c r="N17" s="1">
        <v>5</v>
      </c>
      <c r="O17" s="1">
        <v>5</v>
      </c>
      <c r="P17" s="1">
        <v>5</v>
      </c>
      <c r="Q17" s="1">
        <v>2</v>
      </c>
      <c r="R17" s="1">
        <v>2</v>
      </c>
      <c r="S17" s="1">
        <v>2</v>
      </c>
      <c r="AC17" s="1" t="str">
        <f t="shared" si="6"/>
        <v/>
      </c>
      <c r="AD17" s="1" t="str">
        <f t="shared" si="6"/>
        <v/>
      </c>
    </row>
    <row r="18" spans="1:30" x14ac:dyDescent="0.25">
      <c r="A18" s="70" t="s">
        <v>47</v>
      </c>
      <c r="B18" s="1">
        <v>12</v>
      </c>
      <c r="C18" s="70" t="s">
        <v>129</v>
      </c>
      <c r="D18" t="s">
        <v>25</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135</v>
      </c>
      <c r="B19" s="1">
        <v>14</v>
      </c>
      <c r="C19" s="70" t="s">
        <v>157</v>
      </c>
      <c r="D19" t="s">
        <v>150</v>
      </c>
      <c r="E19" s="1">
        <v>5</v>
      </c>
      <c r="F19" s="1">
        <f t="shared" si="5"/>
        <v>5</v>
      </c>
      <c r="G19" s="1">
        <v>4</v>
      </c>
      <c r="H19" s="1">
        <v>2</v>
      </c>
      <c r="I19" s="1">
        <v>2</v>
      </c>
      <c r="J19" s="1">
        <v>0</v>
      </c>
      <c r="K19" s="1">
        <v>0</v>
      </c>
      <c r="L19" s="1">
        <v>0</v>
      </c>
      <c r="M19" s="1">
        <v>0</v>
      </c>
      <c r="N19" s="1">
        <v>0</v>
      </c>
      <c r="O19" s="1">
        <v>0</v>
      </c>
      <c r="P19" s="1">
        <v>0</v>
      </c>
      <c r="Q19" s="1">
        <v>0</v>
      </c>
      <c r="R19" s="1">
        <v>0</v>
      </c>
      <c r="S19" s="1">
        <v>0</v>
      </c>
      <c r="AC19" s="1" t="str">
        <f t="shared" si="6"/>
        <v/>
      </c>
      <c r="AD19" s="1" t="str">
        <f t="shared" si="6"/>
        <v/>
      </c>
    </row>
    <row r="20" spans="1:30" x14ac:dyDescent="0.25">
      <c r="A20" s="70" t="s">
        <v>55</v>
      </c>
      <c r="B20" s="1">
        <v>16</v>
      </c>
      <c r="C20" s="70" t="s">
        <v>129</v>
      </c>
      <c r="D20" t="s">
        <v>25</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136</v>
      </c>
      <c r="D21" t="s">
        <v>25</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zoomScaleNormal="100" workbookViewId="0">
      <pane ySplit="14" topLeftCell="A15" activePane="bottomLeft" state="frozen"/>
      <selection pane="bottomLeft" activeCell="S19" sqref="S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151</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5</v>
      </c>
      <c r="C11" t="s">
        <v>117</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35</v>
      </c>
      <c r="B15" s="1">
        <v>6</v>
      </c>
      <c r="C15" s="70" t="s">
        <v>134</v>
      </c>
      <c r="D15" t="s">
        <v>13</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153</v>
      </c>
      <c r="B16" s="1">
        <v>7</v>
      </c>
      <c r="C16" s="70" t="s">
        <v>129</v>
      </c>
      <c r="D16" t="s">
        <v>13</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41</v>
      </c>
      <c r="B17" s="1">
        <v>9</v>
      </c>
      <c r="C17" s="70" t="s">
        <v>133</v>
      </c>
      <c r="D17" t="s">
        <v>13</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154</v>
      </c>
      <c r="B18" s="1">
        <v>17</v>
      </c>
      <c r="C18" s="70" t="s">
        <v>133</v>
      </c>
      <c r="D18" t="s">
        <v>13</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155</v>
      </c>
      <c r="B19" s="1">
        <v>18</v>
      </c>
      <c r="C19" s="70" t="s">
        <v>156</v>
      </c>
      <c r="D19" t="s">
        <v>13</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137</v>
      </c>
      <c r="B1" s="81">
        <v>1</v>
      </c>
      <c r="C1" s="82" t="s">
        <v>138</v>
      </c>
      <c r="D1" s="83" t="s">
        <v>139</v>
      </c>
      <c r="E1" s="83"/>
      <c r="F1" s="84"/>
    </row>
    <row r="2" spans="1:6" x14ac:dyDescent="0.25">
      <c r="A2" s="85" t="s">
        <v>140</v>
      </c>
      <c r="B2" s="86" t="s">
        <v>141</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142</v>
      </c>
      <c r="B6" s="98">
        <v>5</v>
      </c>
      <c r="C6" s="99" t="s">
        <v>143</v>
      </c>
      <c r="D6" s="100"/>
      <c r="E6" s="99" t="s">
        <v>144</v>
      </c>
      <c r="F6" s="101"/>
    </row>
    <row r="9" spans="1:6" x14ac:dyDescent="0.25">
      <c r="A9" s="80" t="s">
        <v>137</v>
      </c>
      <c r="B9" s="81">
        <v>1</v>
      </c>
      <c r="C9" s="82" t="s">
        <v>138</v>
      </c>
      <c r="D9" s="83" t="s">
        <v>139</v>
      </c>
      <c r="E9" s="83"/>
      <c r="F9" s="84"/>
    </row>
    <row r="10" spans="1:6" x14ac:dyDescent="0.25">
      <c r="A10" s="85" t="s">
        <v>140</v>
      </c>
      <c r="B10" s="86" t="s">
        <v>145</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142</v>
      </c>
      <c r="B14" s="98">
        <v>7</v>
      </c>
      <c r="C14" s="99" t="s">
        <v>143</v>
      </c>
      <c r="D14" s="100"/>
      <c r="E14" s="99" t="s">
        <v>144</v>
      </c>
      <c r="F14" s="101"/>
    </row>
    <row r="17" spans="1:6" x14ac:dyDescent="0.25">
      <c r="A17" s="80" t="s">
        <v>137</v>
      </c>
      <c r="B17" s="81">
        <v>2</v>
      </c>
      <c r="C17" s="82" t="s">
        <v>138</v>
      </c>
      <c r="D17" s="83" t="s">
        <v>146</v>
      </c>
      <c r="E17" s="83"/>
      <c r="F17" s="84"/>
    </row>
    <row r="18" spans="1:6" x14ac:dyDescent="0.25">
      <c r="A18" s="85" t="s">
        <v>140</v>
      </c>
      <c r="B18" s="86" t="s">
        <v>147</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142</v>
      </c>
      <c r="B22" s="98">
        <v>12</v>
      </c>
      <c r="C22" s="99" t="s">
        <v>143</v>
      </c>
      <c r="D22" s="100"/>
      <c r="E22" s="99" t="s">
        <v>144</v>
      </c>
      <c r="F22" s="101"/>
    </row>
    <row r="25" spans="1:6" x14ac:dyDescent="0.25">
      <c r="A25" s="80" t="s">
        <v>137</v>
      </c>
      <c r="B25" s="81">
        <v>2</v>
      </c>
      <c r="C25" s="82" t="s">
        <v>138</v>
      </c>
      <c r="D25" s="83" t="s">
        <v>146</v>
      </c>
      <c r="E25" s="83"/>
      <c r="F25" s="84"/>
    </row>
    <row r="26" spans="1:6" x14ac:dyDescent="0.25">
      <c r="A26" s="85" t="s">
        <v>140</v>
      </c>
      <c r="B26" s="86" t="s">
        <v>148</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142</v>
      </c>
      <c r="B30" s="98">
        <v>9</v>
      </c>
      <c r="C30" s="99" t="s">
        <v>143</v>
      </c>
      <c r="D30" s="100"/>
      <c r="E30" s="99" t="s">
        <v>144</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2020-04-27T09:41:23Z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