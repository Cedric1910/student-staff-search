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00000000-0000-0000-0000-000000000000}"/>
  <workbookPr defaultThemeVersion="166925"/>
  <mc:AlternateContent xmlns:mc="http://schemas.openxmlformats.org/markup-compatibility/2006">
    <mc:Choice Requires="x15">
      <x15ac:absPath xmlns:x15ac="http://schemas.microsoft.com/office/spreadsheetml/2010/11/ac" url="https://d.docs.live.net/df8c00b68312d67f/University 2020 S1/INFO310/"/>
    </mc:Choice>
  </mc:AlternateContent>
  <xr:revisionPtr revIDLastSave="0" documentId="8_{CCD13D9E-CCE3-4494-8808-77ABDD93082C}" xr6:coauthVersionLast="45" xr6:coauthVersionMax="45" xr10:uidLastSave="{00000000-0000-0000-0000-000000000000}"/>
  <bookViews>
    <workbookView xWindow="-108" yWindow="-108" windowWidth="23256" windowHeight="12576" tabRatio="500" activeTab="3" xr2:uid="{00000000-000D-0000-FFFF-FFFF00000000}"/>
  </bookViews>
  <sheets>
    <sheet name="Release Plan" sheetId="1" r:id="rId1"/>
    <sheet name="Product Backlog" sheetId="2" r:id="rId2"/>
    <sheet name="PB Burndown" sheetId="3" r:id="rId3"/>
    <sheet name="Sp1" sheetId="4" r:id="rId4"/>
    <sheet name="Sp2" sheetId="5" r:id="rId5"/>
    <sheet name="Task Slips" sheetId="6" r:id="rId6"/>
  </sheets>
  <definedNames>
    <definedName name="AverageSpeedLastEight">OFFSET('PB Burndown'!$P$27,1,0,'PB Burndown'!$G$3,1)</definedName>
    <definedName name="AverageSpeedRealized">OFFSET('PB Burndown'!$O$27,1,0,'PB Burndown'!$G$3,1)</definedName>
    <definedName name="AverageSpeedWorstThree">OFFSET('PB Burndown'!$Q$27,1,0,'PB Burndown'!$G$3,1)</definedName>
    <definedName name="ColBottomCurrentScope">OFFSET('PB Burndown'!$I$27,1,0,'PB Burndown'!$G$3,1)</definedName>
    <definedName name="ColTopRemainingWork">OFFSET('PB Burndown'!$F$27,1,0,'PB Burndown'!$G$3,1)</definedName>
    <definedName name="DoneDays" localSheetId="3">'Sp1'!$D$11</definedName>
    <definedName name="DoneDays" localSheetId="4">'Sp2'!$D$11</definedName>
    <definedName name="DoneDays">#REF!</definedName>
    <definedName name="Excel_BuiltIn_Print_Area" localSheetId="1">'Product Backlog'!$A:$G</definedName>
    <definedName name="Excel_BuiltIn_Print_Area" localSheetId="5">'Task Slips'!#REF!</definedName>
    <definedName name="ImplementationDays" localSheetId="3">'Sp1'!$B$9</definedName>
    <definedName name="ImplementationDays" localSheetId="4">'Sp2'!$B$9</definedName>
    <definedName name="ImplementationDays">#REF!</definedName>
    <definedName name="LastEight">IF('PB Burndown'!$G$4&gt;8,OFFSET('PB Burndown'!$D$27,'PB Burndown'!$G$4-7,0,8,1),OFFSET('PB Burndown'!$D$27,1,0,'PB Burndown'!$G$4-1,1))</definedName>
    <definedName name="LastPlanned">IF(OFFSET('PB Burndown'!$B$27,1,0,1,1)="",1,OFFSET('PB Burndown'!$B$27,'PB Burndown'!$G$3,0,1,1))</definedName>
    <definedName name="LastRealized">IF(OFFSET('PB Burndown'!$D$27,1,0,1,1)="",1,OFFSET('PB Burndown'!$D$27,'PB Burndown'!$G$3,0,1,1))</definedName>
    <definedName name="PBCurrentBottom">OFFSET('PB Burndown'!$N$27,1,0,'PB Burndown'!$G$9,1)</definedName>
    <definedName name="PBTrend">OFFSET('PB Burndown'!$M$27,1,0,'PB Burndown'!$G$9,1)</definedName>
    <definedName name="PlannedSpeed">OFFSET('PB Burndown'!$C$27,1,0,'PB Burndown'!$G$3,1)</definedName>
    <definedName name="ProductBacklog">'Product Backlog'!$A$4:$G$160</definedName>
    <definedName name="RealizedSpeed">OFFSET('PB Burndown'!$D$27,1,0,'PB Burndown'!$G$3,1)</definedName>
    <definedName name="RealValues" localSheetId="3">OFFSET('Sp1'!$F$10,0,0,1,'Sp1'!DoneDays)</definedName>
    <definedName name="RealValues" localSheetId="4">OFFSET('Sp2'!$F$10,0,0,1,'Sp2'!DoneDays)</definedName>
    <definedName name="Sprint">'Product Backlog'!$E$5:$E$160</definedName>
    <definedName name="SprintCount">'PB Burndown'!$G$3</definedName>
    <definedName name="SprintsInTrend">'PB Burndown'!$G$6</definedName>
    <definedName name="SprintTasks" localSheetId="3">'Sp1'!$A$14:$AD$63</definedName>
    <definedName name="SprintTasks">'Sp2'!$A$14:$AD$63</definedName>
    <definedName name="Status">'Product Backlog'!$C$5:$C$160</definedName>
    <definedName name="StoryName">'Product Backlog'!$B$5:$B$160</definedName>
    <definedName name="TaskRows" localSheetId="3">'Sp1'!$B$11</definedName>
    <definedName name="TaskRows" localSheetId="4">'Sp2'!$B$11</definedName>
    <definedName name="TaskRows">#REF!</definedName>
    <definedName name="TaskStatus" localSheetId="3">'Sp1'!$D$14:$D$58</definedName>
    <definedName name="TaskStatus">'Sp2'!$D$14:$D$58</definedName>
    <definedName name="TaskStoryID" localSheetId="3">'Sp1'!$B$14:$B$53</definedName>
    <definedName name="TaskStoryID">'Sp2'!$B$14:$B$53</definedName>
    <definedName name="TotalEffort" localSheetId="3">'Sp1'!$E$10</definedName>
    <definedName name="TotalEffort" localSheetId="4">'Sp2'!$E$10</definedName>
    <definedName name="TotalEffort">#REF!</definedName>
    <definedName name="TrendDays" localSheetId="3">'Sp1'!$D$13</definedName>
    <definedName name="TrendDays">'Sp2'!$D$13</definedName>
    <definedName name="TrendOffset">'PB Burndown'!$G$5</definedName>
    <definedName name="TrendSprintCount">'PB Burndown'!$G$4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E28" i="3" l="1"/>
  <c r="A29" i="6"/>
  <c r="A21" i="6"/>
  <c r="A13" i="6"/>
  <c r="A5" i="6"/>
  <c r="D64" i="5"/>
  <c r="H59" i="5"/>
  <c r="F59" i="5"/>
  <c r="D59" i="5"/>
  <c r="F58" i="5"/>
  <c r="D58" i="5"/>
  <c r="F57" i="5"/>
  <c r="D57" i="5"/>
  <c r="F56" i="5"/>
  <c r="D56" i="5"/>
  <c r="F55" i="5"/>
  <c r="D55" i="5"/>
  <c r="F54" i="5"/>
  <c r="D54" i="5"/>
  <c r="F53" i="5"/>
  <c r="D53" i="5"/>
  <c r="F52" i="5"/>
  <c r="D52" i="5"/>
  <c r="F51" i="5"/>
  <c r="D51" i="5"/>
  <c r="F50" i="5"/>
  <c r="D50" i="5"/>
  <c r="F49" i="5"/>
  <c r="D49" i="5"/>
  <c r="F48" i="5"/>
  <c r="D48" i="5"/>
  <c r="F47" i="5"/>
  <c r="D47" i="5"/>
  <c r="F46" i="5"/>
  <c r="D46" i="5"/>
  <c r="F45" i="5"/>
  <c r="D45" i="5"/>
  <c r="F44" i="5"/>
  <c r="D44" i="5"/>
  <c r="F43" i="5"/>
  <c r="D43" i="5"/>
  <c r="F42" i="5"/>
  <c r="D42" i="5"/>
  <c r="F41" i="5"/>
  <c r="D41" i="5"/>
  <c r="F40" i="5"/>
  <c r="D40" i="5"/>
  <c r="F39" i="5"/>
  <c r="D39" i="5"/>
  <c r="F38" i="5"/>
  <c r="D38" i="5"/>
  <c r="F37" i="5"/>
  <c r="D37"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D21" i="5"/>
  <c r="F20" i="5"/>
  <c r="D20" i="5"/>
  <c r="F19" i="5"/>
  <c r="D19" i="5"/>
  <c r="F18" i="5"/>
  <c r="D18" i="5"/>
  <c r="F17" i="5"/>
  <c r="D17" i="5"/>
  <c r="F16" i="5"/>
  <c r="D16" i="5"/>
  <c r="F15" i="5"/>
  <c r="D15" i="5"/>
  <c r="H14" i="5"/>
  <c r="I14" i="5" s="1"/>
  <c r="G14" i="5"/>
  <c r="G59" i="5" s="1"/>
  <c r="B11" i="5"/>
  <c r="AB10" i="5"/>
  <c r="X10" i="5"/>
  <c r="W10" i="5"/>
  <c r="T10" i="5"/>
  <c r="M10" i="5"/>
  <c r="J10" i="5"/>
  <c r="I10" i="5"/>
  <c r="F10" i="5"/>
  <c r="E10" i="5"/>
  <c r="D64" i="4"/>
  <c r="F63" i="4"/>
  <c r="D63" i="4"/>
  <c r="F62" i="4"/>
  <c r="D62" i="4"/>
  <c r="F61" i="4"/>
  <c r="D61" i="4"/>
  <c r="F60" i="4"/>
  <c r="D60" i="4"/>
  <c r="F59" i="4"/>
  <c r="D59" i="4"/>
  <c r="F58" i="4"/>
  <c r="D58" i="4"/>
  <c r="F57" i="4"/>
  <c r="D57" i="4"/>
  <c r="F56" i="4"/>
  <c r="D56" i="4"/>
  <c r="F55" i="4"/>
  <c r="D55" i="4"/>
  <c r="F54" i="4"/>
  <c r="D54" i="4"/>
  <c r="F53" i="4"/>
  <c r="D53" i="4"/>
  <c r="F52" i="4"/>
  <c r="D52" i="4"/>
  <c r="F51" i="4"/>
  <c r="D51" i="4"/>
  <c r="F50" i="4"/>
  <c r="D50" i="4"/>
  <c r="F49" i="4"/>
  <c r="D49" i="4"/>
  <c r="F48" i="4"/>
  <c r="D48" i="4"/>
  <c r="F47" i="4"/>
  <c r="D47" i="4"/>
  <c r="F46" i="4"/>
  <c r="D46" i="4"/>
  <c r="F45" i="4"/>
  <c r="D45" i="4"/>
  <c r="F44" i="4"/>
  <c r="D44" i="4"/>
  <c r="F43" i="4"/>
  <c r="D43" i="4"/>
  <c r="F42" i="4"/>
  <c r="D42" i="4"/>
  <c r="F41" i="4"/>
  <c r="D41" i="4"/>
  <c r="F19" i="4"/>
  <c r="F18" i="4"/>
  <c r="F17" i="4"/>
  <c r="F15" i="4"/>
  <c r="G14" i="4"/>
  <c r="G62" i="4" s="1"/>
  <c r="B11" i="4"/>
  <c r="Y10" i="4"/>
  <c r="T10" i="4"/>
  <c r="Q10" i="4"/>
  <c r="M10" i="4"/>
  <c r="G10" i="4"/>
  <c r="E10" i="4"/>
  <c r="F11" i="4" s="1"/>
  <c r="P42" i="3"/>
  <c r="P39" i="3"/>
  <c r="Q38" i="3"/>
  <c r="P35" i="3"/>
  <c r="P34" i="3"/>
  <c r="B34" i="3"/>
  <c r="I33" i="3"/>
  <c r="H33" i="3" s="1"/>
  <c r="E33" i="3"/>
  <c r="B33" i="3"/>
  <c r="F33" i="3" s="1"/>
  <c r="I32" i="3"/>
  <c r="H32" i="3" s="1"/>
  <c r="F32" i="3"/>
  <c r="I31" i="3"/>
  <c r="H31" i="3" s="1"/>
  <c r="F31" i="3"/>
  <c r="E31" i="3"/>
  <c r="H28" i="3"/>
  <c r="G20" i="3"/>
  <c r="A18" i="3"/>
  <c r="G17" i="3"/>
  <c r="D17" i="3"/>
  <c r="D16" i="3"/>
  <c r="D15" i="3"/>
  <c r="D11" i="3"/>
  <c r="D10" i="3"/>
  <c r="P41" i="3" s="1"/>
  <c r="D9" i="3"/>
  <c r="O42" i="3" s="1"/>
  <c r="D8" i="3"/>
  <c r="D18" i="3" s="1"/>
  <c r="A8" i="3"/>
  <c r="G4" i="3"/>
  <c r="N28" i="3" s="1"/>
  <c r="E31" i="1"/>
  <c r="F23" i="1"/>
  <c r="F24" i="1" s="1"/>
  <c r="F25" i="1" s="1"/>
  <c r="F26" i="1" s="1"/>
  <c r="F27" i="1" s="1"/>
  <c r="F28" i="1" s="1"/>
  <c r="F29" i="1" s="1"/>
  <c r="F30" i="1" s="1"/>
  <c r="F22" i="1"/>
  <c r="D22" i="1"/>
  <c r="B22" i="1"/>
  <c r="A22" i="1" s="1"/>
  <c r="E22" i="1" s="1"/>
  <c r="F18" i="1"/>
  <c r="B17" i="1"/>
  <c r="B18" i="1" s="1"/>
  <c r="D18" i="1" s="1"/>
  <c r="D16" i="1"/>
  <c r="E10" i="1"/>
  <c r="C10" i="1"/>
  <c r="D10" i="1" s="1"/>
  <c r="E9" i="1"/>
  <c r="D9" i="1"/>
  <c r="C9" i="1"/>
  <c r="E8" i="1"/>
  <c r="D8" i="1"/>
  <c r="C8" i="1"/>
  <c r="E7" i="1"/>
  <c r="D7" i="1"/>
  <c r="C7" i="1"/>
  <c r="E6" i="1"/>
  <c r="C6" i="1"/>
  <c r="D6" i="1" s="1"/>
  <c r="E5" i="1"/>
  <c r="C5" i="1"/>
  <c r="B5" i="1"/>
  <c r="D5" i="1" s="1"/>
  <c r="E4" i="1"/>
  <c r="C4" i="1"/>
  <c r="B4" i="1"/>
  <c r="D4" i="1" s="1"/>
  <c r="O45" i="3" l="1"/>
  <c r="O32" i="3"/>
  <c r="D19" i="3"/>
  <c r="O36" i="3"/>
  <c r="O39" i="3"/>
  <c r="O40" i="3"/>
  <c r="O44" i="3"/>
  <c r="N44" i="3"/>
  <c r="N45" i="3"/>
  <c r="N48" i="3"/>
  <c r="N51" i="3"/>
  <c r="N42" i="3"/>
  <c r="N34" i="3"/>
  <c r="G5" i="3"/>
  <c r="N40" i="3"/>
  <c r="N32" i="3"/>
  <c r="N35" i="3"/>
  <c r="N43" i="3"/>
  <c r="N38" i="3"/>
  <c r="N41" i="3"/>
  <c r="N33" i="3"/>
  <c r="N31" i="3"/>
  <c r="N29" i="3"/>
  <c r="N36" i="3"/>
  <c r="N39" i="3"/>
  <c r="N50" i="3"/>
  <c r="N49" i="3"/>
  <c r="N47" i="3"/>
  <c r="N46" i="3"/>
  <c r="K33" i="3"/>
  <c r="G33" i="3"/>
  <c r="G32" i="3"/>
  <c r="K32" i="3"/>
  <c r="N30" i="3"/>
  <c r="K31" i="3"/>
  <c r="E34" i="3"/>
  <c r="B35" i="3"/>
  <c r="I34" i="3"/>
  <c r="H34" i="3" s="1"/>
  <c r="F34" i="3"/>
  <c r="N37" i="3"/>
  <c r="Q45" i="3"/>
  <c r="Q46" i="3"/>
  <c r="Q49" i="3"/>
  <c r="Q35" i="3"/>
  <c r="Q43" i="3"/>
  <c r="Q41" i="3"/>
  <c r="Q33" i="3"/>
  <c r="Q31" i="3"/>
  <c r="Q29" i="3"/>
  <c r="Q36" i="3"/>
  <c r="Q39" i="3"/>
  <c r="Q42" i="3"/>
  <c r="Q34" i="3"/>
  <c r="D21" i="3"/>
  <c r="Q37" i="3"/>
  <c r="Q30" i="3"/>
  <c r="Q28" i="3"/>
  <c r="Q51" i="3"/>
  <c r="Q50" i="3"/>
  <c r="Q48" i="3"/>
  <c r="Q47" i="3"/>
  <c r="Q44" i="3"/>
  <c r="Q40" i="3"/>
  <c r="Q32" i="3"/>
  <c r="E29" i="3"/>
  <c r="E30" i="3" s="1"/>
  <c r="F28" i="3"/>
  <c r="D20" i="3"/>
  <c r="P28" i="3"/>
  <c r="P30" i="3"/>
  <c r="O34" i="3"/>
  <c r="P37" i="3"/>
  <c r="P49" i="3"/>
  <c r="P10" i="4"/>
  <c r="V10" i="4"/>
  <c r="N10" i="4"/>
  <c r="F10" i="4"/>
  <c r="AA10" i="4"/>
  <c r="S10" i="4"/>
  <c r="K10" i="4"/>
  <c r="Z10" i="4"/>
  <c r="R10" i="4"/>
  <c r="J10" i="4"/>
  <c r="D17" i="1"/>
  <c r="O47" i="3"/>
  <c r="O48" i="3"/>
  <c r="O51" i="3"/>
  <c r="O29" i="3"/>
  <c r="O31" i="3"/>
  <c r="O33" i="3"/>
  <c r="P36" i="3"/>
  <c r="O41" i="3"/>
  <c r="H10" i="4"/>
  <c r="U10" i="4"/>
  <c r="H14" i="4"/>
  <c r="G63" i="4"/>
  <c r="G11" i="4"/>
  <c r="D23" i="3"/>
  <c r="P29" i="3"/>
  <c r="G31" i="3"/>
  <c r="P31" i="3"/>
  <c r="P33" i="3"/>
  <c r="O38" i="3"/>
  <c r="O43" i="3"/>
  <c r="I10" i="4"/>
  <c r="W10" i="4"/>
  <c r="B23" i="1"/>
  <c r="P50" i="3"/>
  <c r="P51" i="3"/>
  <c r="P43" i="3"/>
  <c r="P46" i="3"/>
  <c r="D24" i="3"/>
  <c r="O35" i="3"/>
  <c r="P38" i="3"/>
  <c r="L10" i="4"/>
  <c r="X10" i="4"/>
  <c r="H11" i="5"/>
  <c r="F11" i="5"/>
  <c r="O28" i="3"/>
  <c r="O30" i="3"/>
  <c r="P32" i="3"/>
  <c r="O37" i="3"/>
  <c r="P40" i="3"/>
  <c r="P44" i="3"/>
  <c r="P45" i="3"/>
  <c r="O46" i="3"/>
  <c r="P47" i="3"/>
  <c r="P48" i="3"/>
  <c r="O49" i="3"/>
  <c r="O50" i="3"/>
  <c r="O10" i="4"/>
  <c r="AB10" i="4"/>
  <c r="I11" i="5"/>
  <c r="I59" i="5"/>
  <c r="I58" i="5"/>
  <c r="J14" i="5"/>
  <c r="K10" i="5"/>
  <c r="Y10" i="5"/>
  <c r="G58" i="5"/>
  <c r="L10" i="5"/>
  <c r="Z10" i="5"/>
  <c r="G11" i="5"/>
  <c r="H58" i="5"/>
  <c r="AA10" i="5"/>
  <c r="G10" i="5"/>
  <c r="U10" i="5"/>
  <c r="H10" i="5"/>
  <c r="V10" i="5"/>
  <c r="J59" i="5" l="1"/>
  <c r="J11" i="5"/>
  <c r="K14" i="5"/>
  <c r="J58" i="5"/>
  <c r="F35" i="3"/>
  <c r="E35" i="3"/>
  <c r="B36" i="3"/>
  <c r="I35" i="3"/>
  <c r="H35" i="3" s="1"/>
  <c r="L33" i="3"/>
  <c r="L29" i="3"/>
  <c r="A23" i="1"/>
  <c r="E23" i="1" s="1"/>
  <c r="B24" i="1"/>
  <c r="D23" i="1"/>
  <c r="F29" i="3"/>
  <c r="K28" i="3"/>
  <c r="L51" i="3" s="1"/>
  <c r="G28" i="3"/>
  <c r="I29" i="3"/>
  <c r="H11" i="4"/>
  <c r="H62" i="4"/>
  <c r="I14" i="4"/>
  <c r="H63" i="4"/>
  <c r="G6" i="3"/>
  <c r="L45" i="3" s="1"/>
  <c r="K34" i="3"/>
  <c r="G34" i="3"/>
  <c r="L30" i="3" l="1"/>
  <c r="M30" i="3" s="1"/>
  <c r="L40" i="3"/>
  <c r="L48" i="3"/>
  <c r="B37" i="3"/>
  <c r="I36" i="3"/>
  <c r="H36" i="3" s="1"/>
  <c r="F36" i="3"/>
  <c r="E36" i="3"/>
  <c r="F30" i="3"/>
  <c r="H29" i="3"/>
  <c r="I30" i="3"/>
  <c r="H30" i="3" s="1"/>
  <c r="L31" i="3"/>
  <c r="L28" i="3"/>
  <c r="M28" i="3" s="1"/>
  <c r="L49" i="3"/>
  <c r="K29" i="3"/>
  <c r="G29" i="3"/>
  <c r="L41" i="3"/>
  <c r="L37" i="3"/>
  <c r="L36" i="3"/>
  <c r="K35" i="3"/>
  <c r="G35" i="3"/>
  <c r="L38" i="3"/>
  <c r="L44" i="3"/>
  <c r="L50" i="3"/>
  <c r="M51" i="3" s="1"/>
  <c r="K59" i="5"/>
  <c r="K11" i="5"/>
  <c r="K58" i="5"/>
  <c r="L14" i="5"/>
  <c r="I62" i="4"/>
  <c r="J14" i="4"/>
  <c r="I11" i="4"/>
  <c r="I63" i="4"/>
  <c r="B25" i="1"/>
  <c r="D24" i="1"/>
  <c r="A24" i="1"/>
  <c r="E24" i="1" s="1"/>
  <c r="L43" i="3"/>
  <c r="L34" i="3"/>
  <c r="M34" i="3" s="1"/>
  <c r="L47" i="3"/>
  <c r="L35" i="3"/>
  <c r="L42" i="3"/>
  <c r="L46" i="3"/>
  <c r="M46" i="3" s="1"/>
  <c r="L39" i="3"/>
  <c r="L32" i="3"/>
  <c r="M31" i="3" l="1"/>
  <c r="M32" i="3"/>
  <c r="M49" i="3"/>
  <c r="M42" i="3"/>
  <c r="M47" i="3"/>
  <c r="M43" i="3"/>
  <c r="M36" i="3"/>
  <c r="M33" i="3"/>
  <c r="M44" i="3"/>
  <c r="M38" i="3"/>
  <c r="G36" i="3"/>
  <c r="K36" i="3"/>
  <c r="F37" i="3"/>
  <c r="B38" i="3"/>
  <c r="I37" i="3"/>
  <c r="H37" i="3" s="1"/>
  <c r="E37" i="3"/>
  <c r="L11" i="5"/>
  <c r="L58" i="5"/>
  <c r="M14" i="5"/>
  <c r="L59" i="5"/>
  <c r="M48" i="3"/>
  <c r="M39" i="3"/>
  <c r="M37" i="3"/>
  <c r="M40" i="3"/>
  <c r="J63" i="4"/>
  <c r="J11" i="4"/>
  <c r="J62" i="4"/>
  <c r="K14" i="4"/>
  <c r="B26" i="1"/>
  <c r="D25" i="1"/>
  <c r="A25" i="1"/>
  <c r="E25" i="1" s="1"/>
  <c r="M41" i="3"/>
  <c r="K30" i="3"/>
  <c r="G30" i="3"/>
  <c r="M29" i="3"/>
  <c r="D12" i="3" s="1"/>
  <c r="M35" i="3"/>
  <c r="M50" i="3"/>
  <c r="M45" i="3"/>
  <c r="D26" i="1" l="1"/>
  <c r="A26" i="1"/>
  <c r="E26" i="1" s="1"/>
  <c r="B27" i="1"/>
  <c r="K37" i="3"/>
  <c r="G37" i="3"/>
  <c r="D22" i="3"/>
  <c r="M58" i="5"/>
  <c r="M59" i="5"/>
  <c r="M11" i="5"/>
  <c r="N14" i="5"/>
  <c r="G9" i="3"/>
  <c r="K63" i="4"/>
  <c r="K11" i="4"/>
  <c r="L14" i="4"/>
  <c r="K62" i="4"/>
  <c r="B39" i="3"/>
  <c r="I38" i="3"/>
  <c r="H38" i="3" s="1"/>
  <c r="F38" i="3"/>
  <c r="E38" i="3"/>
  <c r="D27" i="1" l="1"/>
  <c r="A27" i="1"/>
  <c r="E27" i="1" s="1"/>
  <c r="B28" i="1"/>
  <c r="B40" i="3"/>
  <c r="I39" i="3"/>
  <c r="H39" i="3" s="1"/>
  <c r="F39" i="3"/>
  <c r="E39" i="3"/>
  <c r="L62" i="4"/>
  <c r="M14" i="4"/>
  <c r="L63" i="4"/>
  <c r="L11" i="4"/>
  <c r="O14" i="5"/>
  <c r="N59" i="5"/>
  <c r="N11" i="5"/>
  <c r="N58" i="5"/>
  <c r="G38" i="3"/>
  <c r="K38" i="3"/>
  <c r="G3" i="3"/>
  <c r="G19" i="3" s="1"/>
  <c r="K39" i="3" l="1"/>
  <c r="G39" i="3"/>
  <c r="D28" i="1"/>
  <c r="A28" i="1"/>
  <c r="E28" i="1" s="1"/>
  <c r="B29" i="1"/>
  <c r="P14" i="5"/>
  <c r="O59" i="5"/>
  <c r="O11" i="5"/>
  <c r="O58" i="5"/>
  <c r="E40" i="3"/>
  <c r="B41" i="3"/>
  <c r="I40" i="3"/>
  <c r="H40" i="3" s="1"/>
  <c r="F40" i="3"/>
  <c r="M62" i="4"/>
  <c r="N14" i="4"/>
  <c r="M11" i="4"/>
  <c r="M63" i="4"/>
  <c r="Q14" i="5" l="1"/>
  <c r="P11" i="5"/>
  <c r="P58" i="5"/>
  <c r="P59" i="5"/>
  <c r="D29" i="1"/>
  <c r="A29" i="1"/>
  <c r="E29" i="1" s="1"/>
  <c r="B30" i="1"/>
  <c r="G40" i="3"/>
  <c r="K40" i="3"/>
  <c r="F41" i="3"/>
  <c r="E41" i="3"/>
  <c r="B42" i="3"/>
  <c r="I41" i="3"/>
  <c r="H41" i="3" s="1"/>
  <c r="N63" i="4"/>
  <c r="N62" i="4"/>
  <c r="O14" i="4"/>
  <c r="N11" i="4"/>
  <c r="Q59" i="5" l="1"/>
  <c r="Q58" i="5"/>
  <c r="R14" i="5"/>
  <c r="Q11" i="5"/>
  <c r="K41" i="3"/>
  <c r="G41" i="3"/>
  <c r="P14" i="4"/>
  <c r="O63" i="4"/>
  <c r="O11" i="4"/>
  <c r="O62" i="4"/>
  <c r="A30" i="1"/>
  <c r="E30" i="1" s="1"/>
  <c r="D30" i="1"/>
  <c r="E42" i="3"/>
  <c r="B43" i="3"/>
  <c r="I42" i="3"/>
  <c r="H42" i="3" s="1"/>
  <c r="F42" i="3"/>
  <c r="K42" i="3" l="1"/>
  <c r="G42" i="3"/>
  <c r="P11" i="4"/>
  <c r="P62" i="4"/>
  <c r="P63" i="4"/>
  <c r="Q14" i="4"/>
  <c r="I43" i="3"/>
  <c r="H43" i="3" s="1"/>
  <c r="F43" i="3"/>
  <c r="E43" i="3"/>
  <c r="B44" i="3"/>
  <c r="R59" i="5"/>
  <c r="R11" i="5"/>
  <c r="S14" i="5"/>
  <c r="R58" i="5"/>
  <c r="G43" i="3" l="1"/>
  <c r="K43" i="3"/>
  <c r="Q62" i="4"/>
  <c r="Q63" i="4"/>
  <c r="R14" i="4"/>
  <c r="Q11" i="4"/>
  <c r="S59" i="5"/>
  <c r="S11" i="5"/>
  <c r="S58" i="5"/>
  <c r="T14" i="5"/>
  <c r="B45" i="3"/>
  <c r="E44" i="3"/>
  <c r="I44" i="3"/>
  <c r="H44" i="3" s="1"/>
  <c r="F44" i="3"/>
  <c r="R63" i="4" l="1"/>
  <c r="R62" i="4"/>
  <c r="S14" i="4"/>
  <c r="R11" i="4"/>
  <c r="K44" i="3"/>
  <c r="G44" i="3"/>
  <c r="E45" i="3"/>
  <c r="I45" i="3"/>
  <c r="H45" i="3" s="1"/>
  <c r="F45" i="3"/>
  <c r="B46" i="3"/>
  <c r="T11" i="5"/>
  <c r="T58" i="5"/>
  <c r="U14" i="5"/>
  <c r="T59" i="5"/>
  <c r="U58" i="5" l="1"/>
  <c r="U59" i="5"/>
  <c r="U11" i="5"/>
  <c r="V14" i="5"/>
  <c r="S63" i="4"/>
  <c r="S11" i="4"/>
  <c r="T14" i="4"/>
  <c r="S62" i="4"/>
  <c r="I46" i="3"/>
  <c r="H46" i="3" s="1"/>
  <c r="F46" i="3"/>
  <c r="E46" i="3"/>
  <c r="B47" i="3"/>
  <c r="K45" i="3"/>
  <c r="G45" i="3"/>
  <c r="T62" i="4" l="1"/>
  <c r="U14" i="4"/>
  <c r="T11" i="4"/>
  <c r="T63" i="4"/>
  <c r="F47" i="3"/>
  <c r="I47" i="3"/>
  <c r="H47" i="3" s="1"/>
  <c r="B48" i="3"/>
  <c r="E47" i="3"/>
  <c r="W14" i="5"/>
  <c r="V59" i="5"/>
  <c r="V11" i="5"/>
  <c r="V58" i="5"/>
  <c r="G46" i="3"/>
  <c r="K46" i="3"/>
  <c r="B49" i="3" l="1"/>
  <c r="I48" i="3"/>
  <c r="H48" i="3" s="1"/>
  <c r="F48" i="3"/>
  <c r="E48" i="3"/>
  <c r="X14" i="5"/>
  <c r="W59" i="5"/>
  <c r="W11" i="5"/>
  <c r="W58" i="5"/>
  <c r="K47" i="3"/>
  <c r="G47" i="3"/>
  <c r="U62" i="4"/>
  <c r="U63" i="4"/>
  <c r="V14" i="4"/>
  <c r="U11" i="4"/>
  <c r="Y14" i="5" l="1"/>
  <c r="X11" i="5"/>
  <c r="X58" i="5"/>
  <c r="X59" i="5"/>
  <c r="V63" i="4"/>
  <c r="W14" i="4"/>
  <c r="V11" i="4"/>
  <c r="V62" i="4"/>
  <c r="K48" i="3"/>
  <c r="G48" i="3"/>
  <c r="B50" i="3"/>
  <c r="I49" i="3"/>
  <c r="H49" i="3" s="1"/>
  <c r="F49" i="3"/>
  <c r="E49" i="3"/>
  <c r="X14" i="4" l="1"/>
  <c r="W63" i="4"/>
  <c r="W11" i="4"/>
  <c r="W62" i="4"/>
  <c r="I50" i="3"/>
  <c r="H50" i="3" s="1"/>
  <c r="F50" i="3"/>
  <c r="B51" i="3"/>
  <c r="E50" i="3"/>
  <c r="K49" i="3"/>
  <c r="G49" i="3"/>
  <c r="Y59" i="5"/>
  <c r="Y58" i="5"/>
  <c r="Z14" i="5"/>
  <c r="Y11" i="5"/>
  <c r="F51" i="3" l="1"/>
  <c r="I51" i="3"/>
  <c r="H51" i="3" s="1"/>
  <c r="E51" i="3"/>
  <c r="Z59" i="5"/>
  <c r="Z11" i="5"/>
  <c r="AA14" i="5"/>
  <c r="Z58" i="5"/>
  <c r="G50" i="3"/>
  <c r="K50" i="3"/>
  <c r="X11" i="4"/>
  <c r="X62" i="4"/>
  <c r="X63" i="4"/>
  <c r="Y14" i="4"/>
  <c r="K51" i="3" l="1"/>
  <c r="G51" i="3"/>
  <c r="AA59" i="5"/>
  <c r="AA11" i="5"/>
  <c r="AA58" i="5"/>
  <c r="AB14" i="5"/>
  <c r="Y62" i="4"/>
  <c r="Z14" i="4"/>
  <c r="Y63" i="4"/>
  <c r="Y11" i="4"/>
  <c r="AB11" i="5" l="1"/>
  <c r="AB58" i="5"/>
  <c r="AC14" i="5"/>
  <c r="AB59" i="5"/>
  <c r="Z63" i="4"/>
  <c r="Z11" i="4"/>
  <c r="Z62" i="4"/>
  <c r="AA14" i="4"/>
  <c r="AA63" i="4" l="1"/>
  <c r="AA11" i="4"/>
  <c r="AB14" i="4"/>
  <c r="AA62" i="4"/>
  <c r="AC58" i="5"/>
  <c r="AC57" i="5"/>
  <c r="AC55" i="5"/>
  <c r="AC53" i="5"/>
  <c r="AC51" i="5"/>
  <c r="AC49" i="5"/>
  <c r="AC47" i="5"/>
  <c r="AC45" i="5"/>
  <c r="AC43" i="5"/>
  <c r="AC41" i="5"/>
  <c r="AC39" i="5"/>
  <c r="AC37" i="5"/>
  <c r="AC35" i="5"/>
  <c r="AC33" i="5"/>
  <c r="AC31" i="5"/>
  <c r="AC29" i="5"/>
  <c r="AC27" i="5"/>
  <c r="AC25" i="5"/>
  <c r="AC23" i="5"/>
  <c r="AC21" i="5"/>
  <c r="AC19" i="5"/>
  <c r="AC17" i="5"/>
  <c r="AC59" i="5"/>
  <c r="AC56" i="5"/>
  <c r="AC54" i="5"/>
  <c r="AC52" i="5"/>
  <c r="AC50" i="5"/>
  <c r="AC48" i="5"/>
  <c r="AC46" i="5"/>
  <c r="AC44" i="5"/>
  <c r="AC42" i="5"/>
  <c r="AC40" i="5"/>
  <c r="AC38" i="5"/>
  <c r="AC36" i="5"/>
  <c r="AC34" i="5"/>
  <c r="AC32" i="5"/>
  <c r="AC30" i="5"/>
  <c r="AC28" i="5"/>
  <c r="AC26" i="5"/>
  <c r="AC24" i="5"/>
  <c r="AC22" i="5"/>
  <c r="AC20" i="5"/>
  <c r="AC18" i="5"/>
  <c r="AC16" i="5"/>
  <c r="AC11" i="5"/>
  <c r="AD14" i="5"/>
  <c r="AC10" i="5" l="1"/>
  <c r="D11" i="5" s="1"/>
  <c r="AB62" i="4"/>
  <c r="AC14" i="4"/>
  <c r="AB63" i="4"/>
  <c r="AB11" i="4"/>
  <c r="AD57" i="5"/>
  <c r="AD55" i="5"/>
  <c r="AD53" i="5"/>
  <c r="AD51" i="5"/>
  <c r="AD49" i="5"/>
  <c r="AD47" i="5"/>
  <c r="AD45" i="5"/>
  <c r="AD43" i="5"/>
  <c r="AD41" i="5"/>
  <c r="AD39" i="5"/>
  <c r="AD37" i="5"/>
  <c r="AD35" i="5"/>
  <c r="AD33" i="5"/>
  <c r="AD31" i="5"/>
  <c r="AD29" i="5"/>
  <c r="AD27" i="5"/>
  <c r="AD25" i="5"/>
  <c r="AD23" i="5"/>
  <c r="AD21" i="5"/>
  <c r="AD19" i="5"/>
  <c r="AD17" i="5"/>
  <c r="AD59" i="5"/>
  <c r="AD56" i="5"/>
  <c r="AD54" i="5"/>
  <c r="AD52" i="5"/>
  <c r="AD50" i="5"/>
  <c r="AD48" i="5"/>
  <c r="AD46" i="5"/>
  <c r="AD44" i="5"/>
  <c r="AD42" i="5"/>
  <c r="AD40" i="5"/>
  <c r="AD38" i="5"/>
  <c r="AD36" i="5"/>
  <c r="AD34" i="5"/>
  <c r="AD32" i="5"/>
  <c r="AD30" i="5"/>
  <c r="AD28" i="5"/>
  <c r="AD26" i="5"/>
  <c r="AD24" i="5"/>
  <c r="AD22" i="5"/>
  <c r="AD20" i="5"/>
  <c r="AD18" i="5"/>
  <c r="AD16" i="5"/>
  <c r="AD10" i="5" s="1"/>
  <c r="AD11" i="5"/>
  <c r="AD58" i="5"/>
  <c r="D13" i="5" l="1"/>
  <c r="F13" i="5"/>
  <c r="AC62" i="4"/>
  <c r="AC37" i="4"/>
  <c r="AC32" i="4"/>
  <c r="AC28" i="4"/>
  <c r="AC23" i="4"/>
  <c r="AC19" i="4"/>
  <c r="AC61" i="4"/>
  <c r="AC53" i="4"/>
  <c r="AC45" i="4"/>
  <c r="AC26" i="4"/>
  <c r="AC55" i="4"/>
  <c r="AC47" i="4"/>
  <c r="AC38" i="4"/>
  <c r="AC60" i="4"/>
  <c r="AC52" i="4"/>
  <c r="AC44" i="4"/>
  <c r="AC30" i="4"/>
  <c r="AC22" i="4"/>
  <c r="AC17" i="4"/>
  <c r="AC63" i="4"/>
  <c r="AC57" i="4"/>
  <c r="AC49" i="4"/>
  <c r="AC41" i="4"/>
  <c r="AC36" i="4"/>
  <c r="AC29" i="4"/>
  <c r="AC54" i="4"/>
  <c r="AC46" i="4"/>
  <c r="AC21" i="4"/>
  <c r="AC59" i="4"/>
  <c r="AC51" i="4"/>
  <c r="AC43" i="4"/>
  <c r="AC34" i="4"/>
  <c r="AC27" i="4"/>
  <c r="AC20" i="4"/>
  <c r="AD14" i="4"/>
  <c r="AC11" i="4"/>
  <c r="AC56" i="4"/>
  <c r="AC48" i="4"/>
  <c r="AC40" i="4"/>
  <c r="AC33" i="4"/>
  <c r="AC58" i="4"/>
  <c r="AC50" i="4"/>
  <c r="AC42" i="4"/>
  <c r="AC39" i="4"/>
  <c r="AC31" i="4"/>
  <c r="AC24" i="4"/>
  <c r="S12" i="5" l="1"/>
  <c r="P12" i="5"/>
  <c r="F12" i="5"/>
  <c r="N12" i="5"/>
  <c r="Q12" i="5"/>
  <c r="L12" i="5"/>
  <c r="V12" i="5"/>
  <c r="Y12" i="5"/>
  <c r="AA12" i="5"/>
  <c r="AD61" i="4"/>
  <c r="AD59" i="4"/>
  <c r="AD57" i="4"/>
  <c r="AD55" i="4"/>
  <c r="AD53" i="4"/>
  <c r="AD51" i="4"/>
  <c r="AD49" i="4"/>
  <c r="AD47" i="4"/>
  <c r="AD45" i="4"/>
  <c r="AD43" i="4"/>
  <c r="AD41" i="4"/>
  <c r="AD38" i="4"/>
  <c r="AD33" i="4"/>
  <c r="AD29" i="4"/>
  <c r="AD24" i="4"/>
  <c r="AD20" i="4"/>
  <c r="AD63" i="4"/>
  <c r="AD60" i="4"/>
  <c r="AD58" i="4"/>
  <c r="AD56" i="4"/>
  <c r="AD54" i="4"/>
  <c r="AD52" i="4"/>
  <c r="AD50" i="4"/>
  <c r="AD48" i="4"/>
  <c r="AD46" i="4"/>
  <c r="AD44" i="4"/>
  <c r="AD42" i="4"/>
  <c r="AD40" i="4"/>
  <c r="AD36" i="4"/>
  <c r="AD31" i="4"/>
  <c r="AD27" i="4"/>
  <c r="AD22" i="4"/>
  <c r="AD39" i="4"/>
  <c r="AD32" i="4"/>
  <c r="AD62" i="4"/>
  <c r="AD30" i="4"/>
  <c r="AD23" i="4"/>
  <c r="AD17" i="4"/>
  <c r="AD37" i="4"/>
  <c r="AD21" i="4"/>
  <c r="AD34" i="4"/>
  <c r="AD28" i="4"/>
  <c r="AD11" i="4"/>
  <c r="AD26" i="4"/>
  <c r="AD19" i="4"/>
  <c r="AC10" i="4"/>
  <c r="T12" i="5"/>
  <c r="AD12" i="5"/>
  <c r="J12" i="5"/>
  <c r="AC12" i="5"/>
  <c r="X12" i="5"/>
  <c r="I12" i="5"/>
  <c r="AB12" i="5"/>
  <c r="G12" i="5"/>
  <c r="R12" i="5"/>
  <c r="M12" i="5"/>
  <c r="O12" i="5"/>
  <c r="Z12" i="5"/>
  <c r="H12" i="5"/>
  <c r="U12" i="5"/>
  <c r="W12" i="5"/>
  <c r="K12" i="5"/>
  <c r="AD10" i="4" l="1"/>
  <c r="D11" i="4" s="1"/>
  <c r="D13" i="4" l="1"/>
  <c r="F13" i="4"/>
  <c r="U12" i="4" l="1"/>
  <c r="AB12" i="4"/>
  <c r="Z12" i="4"/>
  <c r="Q12" i="4"/>
  <c r="K12" i="4"/>
  <c r="AC12" i="4"/>
  <c r="S12" i="4"/>
  <c r="H12" i="4"/>
  <c r="J12" i="4"/>
  <c r="X12" i="4"/>
  <c r="O12" i="4"/>
  <c r="M12" i="4"/>
  <c r="W12" i="4"/>
  <c r="AA12" i="4"/>
  <c r="L12" i="4"/>
  <c r="F12" i="4"/>
  <c r="Y12" i="4"/>
  <c r="T12" i="4"/>
  <c r="R12" i="4"/>
  <c r="AD12" i="4"/>
  <c r="G12" i="4"/>
  <c r="N12" i="4"/>
  <c r="P12" i="4"/>
  <c r="I12" i="4"/>
  <c r="V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100-000001000000}">
      <text>
        <r>
          <rPr>
            <sz val="8"/>
            <color rgb="FF000000"/>
            <rFont val="Tahoma"/>
            <family val="2"/>
            <charset val="1"/>
          </rPr>
          <t>Once a Story ID is given to a story, do not change that number or reuse it even if you delete the story.</t>
        </r>
      </text>
    </comment>
    <comment ref="C4" authorId="0" shapeId="0" xr:uid="{00000000-0006-0000-0100-000002000000}">
      <text>
        <r>
          <rPr>
            <b/>
            <sz val="8"/>
            <color rgb="FF000000"/>
            <rFont val="Tahoma"/>
            <family val="2"/>
            <charset val="1"/>
          </rPr>
          <t xml:space="preserve">Use the following statuses:
</t>
        </r>
        <r>
          <rPr>
            <sz val="8"/>
            <color rgb="FF000000"/>
            <rFont val="Tahoma"/>
            <family val="2"/>
            <charset val="1"/>
          </rPr>
          <t>Planned (or empty)
Ongoing
Done
Removed
The sheet uses the above statuses in the formatting and calculation formulas.</t>
        </r>
      </text>
    </comment>
    <comment ref="D4" authorId="0" shapeId="0" xr:uid="{00000000-0006-0000-0100-000003000000}">
      <text>
        <r>
          <rPr>
            <sz val="8"/>
            <color rgb="FF000000"/>
            <rFont val="Tahoma"/>
            <family val="2"/>
            <charset val="1"/>
          </rPr>
          <t>Story Points or Ideal Days</t>
        </r>
      </text>
    </comment>
    <comment ref="E4" authorId="0" shapeId="0" xr:uid="{00000000-0006-0000-0100-000004000000}">
      <text>
        <r>
          <rPr>
            <sz val="8"/>
            <color rgb="FF000000"/>
            <rFont val="Tahoma"/>
            <family val="2"/>
            <charset val="1"/>
          </rPr>
          <t>Create a release plan by assigning stories to planned sprints. If there are more stories in the backlog than in the plan, leave the remaining stories unassigned to sprints.</t>
        </r>
      </text>
    </comment>
    <comment ref="F4" authorId="0" shapeId="0" xr:uid="{00000000-0006-0000-0100-000005000000}">
      <text>
        <r>
          <rPr>
            <sz val="8"/>
            <color rgb="FF000000"/>
            <rFont val="Tahoma"/>
            <family val="2"/>
            <charset val="1"/>
          </rPr>
          <t>You may assign priorities to the stories, but keep in mind that priority does not always equal implementation order.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5" authorId="0" shapeId="0" xr:uid="{00000000-0006-0000-0200-000001000000}">
      <text>
        <r>
          <rPr>
            <sz val="8"/>
            <color rgb="FF000000"/>
            <rFont val="Tahoma"/>
            <family val="2"/>
            <charset val="1"/>
          </rPr>
          <t>Average estimate * 0,6</t>
        </r>
      </text>
    </comment>
    <comment ref="B17" authorId="0" shapeId="0" xr:uid="{00000000-0006-0000-0200-000002000000}">
      <text>
        <r>
          <rPr>
            <sz val="8"/>
            <color rgb="FF000000"/>
            <rFont val="Tahoma"/>
            <family val="2"/>
            <charset val="1"/>
          </rPr>
          <t>Average estimate * 1,6</t>
        </r>
      </text>
    </comment>
    <comment ref="B19" authorId="0" shapeId="0" xr:uid="{00000000-0006-0000-0200-000003000000}">
      <text>
        <r>
          <rPr>
            <sz val="8"/>
            <color rgb="FF000000"/>
            <rFont val="Tahoma"/>
            <family val="2"/>
            <charset val="1"/>
          </rPr>
          <t>As of latest Product Backlog estimate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3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4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<sst xmlns="http://schemas.openxmlformats.org/spreadsheetml/2006/main" count="243" uniqueCount="152">
  <si>
    <t>Increment Plan</t>
  </si>
  <si>
    <t>Incr.</t>
  </si>
  <si>
    <t>Start</t>
  </si>
  <si>
    <t>Days</t>
  </si>
  <si>
    <t>End</t>
  </si>
  <si>
    <t>Size</t>
  </si>
  <si>
    <t>Status</t>
  </si>
  <si>
    <t>Release Date</t>
  </si>
  <si>
    <t>Goal</t>
  </si>
  <si>
    <t>Template note: Increment plan is intended to collect individual sprints into larger releases. In smaller projects, this is not needed.</t>
  </si>
  <si>
    <t>Sprint Plan</t>
  </si>
  <si>
    <t>Sprint</t>
  </si>
  <si>
    <t>Increment</t>
  </si>
  <si>
    <t>Planned</t>
  </si>
  <si>
    <t>Our goal in sprint 1 is to construct the user interface, relational database modeling with domain/dao classes and user profile setup.</t>
  </si>
  <si>
    <t>Our primary focus in sprint 2 is on application functionality, contact/application request and the notification service.</t>
  </si>
  <si>
    <t>Our objective in sprint 3 is to perform testing and develop security, error messages and overall system robustness. Features such as a forwarding system and customer deletion will be developed if there is enough time remaining in the sprint. We will also spend time creating thorough setup instructions to ensure this system can be set up and run by the company using this package.</t>
  </si>
  <si>
    <t>Unallocated stories</t>
  </si>
  <si>
    <t>Product Backlog</t>
  </si>
  <si>
    <t xml:space="preserve"> </t>
  </si>
  <si>
    <t>Story ID</t>
  </si>
  <si>
    <t>Story name</t>
  </si>
  <si>
    <t>Priority</t>
  </si>
  <si>
    <t>Comments</t>
  </si>
  <si>
    <t>Login System</t>
  </si>
  <si>
    <t>Ongoing</t>
  </si>
  <si>
    <t>Users should be able to login to the system to edit profiles and use the system</t>
  </si>
  <si>
    <t>Student Search for Appropriate Professors</t>
  </si>
  <si>
    <t>Student Users should be able to enter their research ideas etc. and receive a filtered list of appropriate professors to contact</t>
  </si>
  <si>
    <t>Straightforward User Interface</t>
  </si>
  <si>
    <t>The UI should be straightforward to use e.g. users shouldn’t have to follow several links to perform a simple task using the system</t>
  </si>
  <si>
    <t>Professor Profile Setup</t>
  </si>
  <si>
    <t>Professors should be able to set up a profile for student searches to match against (and use keywords/tags)</t>
  </si>
  <si>
    <t>Contact Request System</t>
  </si>
  <si>
    <t>Students should be able to request an email to be sent to their selected professor</t>
  </si>
  <si>
    <t>Security</t>
  </si>
  <si>
    <t>The data of the users should be protected e.g. the system shouldn’t be vulnerable to SQL injections, XSS attacks etc.</t>
  </si>
  <si>
    <t>Forwarding/Recommending system</t>
  </si>
  <si>
    <t xml:space="preserve">Professors should be able to forward student applications to other professors who they think would be better options for the student, </t>
  </si>
  <si>
    <t>Functional entity relational database</t>
  </si>
  <si>
    <t>Database should be structured efficiently as an ERD, with approprite domains and DAOs.</t>
  </si>
  <si>
    <t>Error Messages and Testing</t>
  </si>
  <si>
    <t>The system should provide useful error messages to the user (and provide user with an error code)</t>
  </si>
  <si>
    <t>Contact Request Approval/Denial</t>
  </si>
  <si>
    <t>Professors should be able to accept or deny student requests to contact them about research.</t>
  </si>
  <si>
    <t>Student Profile Setup</t>
  </si>
  <si>
    <t>Student Users should be able to create profiles with their research ideas, contact information etc.</t>
  </si>
  <si>
    <t>Student Email Notification</t>
  </si>
  <si>
    <t>Students should be notified by email when a professor approves or declines their contact request.</t>
  </si>
  <si>
    <t>Robust HTTP requests/responses</t>
  </si>
  <si>
    <t>HTTP GET/POST/PULL requests and responses work accordingly and are reliable/aren't prone to errors.</t>
  </si>
  <si>
    <t>User differentiation</t>
  </si>
  <si>
    <t>System should be able to differentiate between student and lecturer profiles upon login and direct to respective home page.</t>
  </si>
  <si>
    <t>Notification Page</t>
  </si>
  <si>
    <t>Both users should be able to view all their notifications on one page.</t>
  </si>
  <si>
    <t>Professor availability check</t>
  </si>
  <si>
    <t xml:space="preserve">Professors should be able to check a box telling the system wether they are free or not to conduct studies with a student. </t>
  </si>
  <si>
    <t>Provide efficient setup instructions</t>
  </si>
  <si>
    <t>Simple, but thorough setup instructions should be created so the system can be set up accordingly by the company that provides this service.</t>
  </si>
  <si>
    <t>Delete account or hide account option</t>
  </si>
  <si>
    <t>Users (professors or students) should have the option to delete or hide their account if they no longer want to use this service or want to "hide" their account temporarily from being searched.</t>
  </si>
  <si>
    <t>Product Backlog Burndown Chart</t>
  </si>
  <si>
    <t>Original planned size</t>
  </si>
  <si>
    <t>Sprint count</t>
  </si>
  <si>
    <t>Count trend from last</t>
  </si>
  <si>
    <t>sprints</t>
  </si>
  <si>
    <t>Trend sprint count</t>
  </si>
  <si>
    <t>Trend offset</t>
  </si>
  <si>
    <t>Note:</t>
  </si>
  <si>
    <t>Velocity (points per sprint)</t>
  </si>
  <si>
    <t>Sprints in Trend</t>
  </si>
  <si>
    <t xml:space="preserve">In this chart, the tops of the bars show the amount of actual </t>
  </si>
  <si>
    <t>Original estimate</t>
  </si>
  <si>
    <t xml:space="preserve">(or planned) implemented functionality at the beginning of each sprint. </t>
  </si>
  <si>
    <t>The bottoms of the bars show the changes in project scope</t>
  </si>
  <si>
    <t>Realized total average</t>
  </si>
  <si>
    <t>Trend count</t>
  </si>
  <si>
    <t>(i.e. if the amount of story points</t>
  </si>
  <si>
    <t>Average last 8</t>
  </si>
  <si>
    <t>in the project increases, the bottoms move lower). The length</t>
  </si>
  <si>
    <t>Avg. worst 3 in last 8</t>
  </si>
  <si>
    <t>of the bars indicate the estimated size of the project at the</t>
  </si>
  <si>
    <t>Trend</t>
  </si>
  <si>
    <t xml:space="preserve">beginning of each sprint. </t>
  </si>
  <si>
    <t>These hidden cells are used to draw the graph on this page. DO NOT DELETE!</t>
  </si>
  <si>
    <t>The red line indicates the current planned scope.</t>
  </si>
  <si>
    <t>Predictions - Completion at the end of sprint…</t>
  </si>
  <si>
    <t>Original estimate - Min</t>
  </si>
  <si>
    <t>Original estimate - Avg</t>
  </si>
  <si>
    <t>Original estimate - Max</t>
  </si>
  <si>
    <t>Standard Dev.</t>
  </si>
  <si>
    <t>Realized average</t>
  </si>
  <si>
    <t>LastPlanned</t>
  </si>
  <si>
    <t>LastRealized</t>
  </si>
  <si>
    <t>Realized + St. Dev</t>
  </si>
  <si>
    <t>Realized - St. Dev</t>
  </si>
  <si>
    <t>Average Speeds</t>
  </si>
  <si>
    <t>Remain.Work</t>
  </si>
  <si>
    <t>Planned Work</t>
  </si>
  <si>
    <t>Realized Work</t>
  </si>
  <si>
    <t>Current Total Size</t>
  </si>
  <si>
    <t>Col top</t>
  </si>
  <si>
    <t>Do not delete…</t>
  </si>
  <si>
    <t>Col bottom</t>
  </si>
  <si>
    <t>Trend Help</t>
  </si>
  <si>
    <t>Raw Trend</t>
  </si>
  <si>
    <t>Real Trend</t>
  </si>
  <si>
    <t>Current Bottom</t>
  </si>
  <si>
    <t>Realized</t>
  </si>
  <si>
    <t>Last 8</t>
  </si>
  <si>
    <t>Worst 3 in Last 8</t>
  </si>
  <si>
    <t>Sprint implementation days</t>
  </si>
  <si>
    <t>Effort</t>
  </si>
  <si>
    <t>Remaining on implementation day…</t>
  </si>
  <si>
    <t>Trend calculated based on last</t>
  </si>
  <si>
    <t>Totals</t>
  </si>
  <si>
    <t>Task rows</t>
  </si>
  <si>
    <t>Done days</t>
  </si>
  <si>
    <t>Warning! These are necessary</t>
  </si>
  <si>
    <t>template rows</t>
  </si>
  <si>
    <t>Trend Days</t>
  </si>
  <si>
    <t>Task name</t>
  </si>
  <si>
    <t>Responsible</t>
  </si>
  <si>
    <t>Est.</t>
  </si>
  <si>
    <t>Login system</t>
  </si>
  <si>
    <t>Julia McDowell</t>
  </si>
  <si>
    <t>Julia McDowell &amp; Carly Ryan</t>
  </si>
  <si>
    <t>Professor profile setup</t>
  </si>
  <si>
    <t>Cedric Stephani</t>
  </si>
  <si>
    <t>Functional Entity Relational Database</t>
  </si>
  <si>
    <t>Leon Hoogenraad</t>
  </si>
  <si>
    <t xml:space="preserve">Student profile setup </t>
  </si>
  <si>
    <t>Robust HTTP request/responses</t>
  </si>
  <si>
    <t>Sprint 2 Backlog</t>
  </si>
  <si>
    <t>All Members</t>
  </si>
  <si>
    <t>Hugo Baird</t>
  </si>
  <si>
    <t>User Differentiation</t>
  </si>
  <si>
    <t>Carly Ryan</t>
  </si>
  <si>
    <t>Story ID:</t>
  </si>
  <si>
    <t>Story:</t>
  </si>
  <si>
    <t>This is a sample story</t>
  </si>
  <si>
    <t>Task:</t>
  </si>
  <si>
    <t>Example task</t>
  </si>
  <si>
    <t>Initial 
Estimate</t>
  </si>
  <si>
    <t>Work 
Done</t>
  </si>
  <si>
    <t>Work 
Left</t>
  </si>
  <si>
    <t>Example task 2</t>
  </si>
  <si>
    <t>This is another sample story</t>
  </si>
  <si>
    <t>Example task 3</t>
  </si>
  <si>
    <t>&lt;Delete these example lines&gt;</t>
  </si>
  <si>
    <t>Cedric Stephani &amp; Hugo Baird</t>
  </si>
  <si>
    <t>Julia McDowell &amp; Leon Hoogenraad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</si>
</sst>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yy;@"/>
    <numFmt numFmtId="165" formatCode="&quot;Last &quot;###&quot; sprints&quot;"/>
    <numFmt numFmtId="166" formatCode="0.0"/>
    <numFmt numFmtId="167" formatCode="&quot;Sprint &quot;#&quot; Backlog&quot;"/>
  </numFmts>
  <fonts count="10" x14ac:knownFonts="1">
    <font>
      <sz val="10"/>
      <name val="Arial"/>
      <charset val="1"/>
    </font>
    <font>
      <sz val="14"/>
      <name val="Arial"/>
      <charset val="1"/>
    </font>
    <font>
      <b/>
      <sz val="10"/>
      <name val="Arial"/>
      <family val="2"/>
      <charset val="1"/>
    </font>
    <font>
      <i/>
      <sz val="10"/>
      <color rgb="FF0000FF"/>
      <name val="Arial"/>
      <family val="2"/>
      <charset val="1"/>
    </font>
    <font>
      <sz val="8"/>
      <color rgb="FF000000"/>
      <name val="Tahoma"/>
      <family val="2"/>
      <charset val="1"/>
    </font>
    <font>
      <b/>
      <sz val="8"/>
      <color rgb="FF000000"/>
      <name val="Tahoma"/>
      <family val="2"/>
      <charset val="1"/>
    </font>
    <font>
      <b/>
      <sz val="10"/>
      <color rgb="FFFF0000"/>
      <name val="Arial"/>
      <family val="2"/>
      <charset val="1"/>
    </font>
    <font>
      <sz val="10"/>
      <color rgb="FFFF0000"/>
      <name val="Arial"/>
      <family val="2"/>
      <charset val="1"/>
    </font>
    <font>
      <sz val="14"/>
      <name val="Arial"/>
      <family val="2"/>
      <charset val="1"/>
    </font>
    <font>
      <b/>
      <sz val="14"/>
      <name val="Arial"/>
      <family val="2"/>
      <charset val="1"/>
    </font>
  </fonts>
  <fills count="4">
    <fill>
      <patternFill patternType="none"/>
    </fill>
    <fill>
      <patternFill patternType="gray125"/>
    </fill>
    <fill>
      <patternFill patternType="solid">
        <fgColor rgb="FFFFCC99"/>
        <bgColor rgb="FFC0C0C0"/>
      </patternFill>
    </fill>
    <fill>
      <patternFill patternType="solid">
        <fgColor rgb="FFFFFF99"/>
        <bgColor rgb="FFFFFFCC"/>
      </patternFill>
    </fill>
  </fills>
  <borders count="33">
    <border>
      <left/>
      <right/>
      <top/>
      <bottom/>
      <diagonal/>
    </border>
    <border>
      <left style="thin">
        <color rgb="FF303030"/>
      </left>
      <right/>
      <top style="thin">
        <color rgb="FF303030"/>
      </top>
      <bottom style="thin">
        <color rgb="FF303030"/>
      </bottom>
      <diagonal/>
    </border>
    <border>
      <left/>
      <right/>
      <top style="thin">
        <color rgb="FF303030"/>
      </top>
      <bottom style="thin">
        <color rgb="FF303030"/>
      </bottom>
      <diagonal/>
    </border>
    <border>
      <left/>
      <right/>
      <top style="thin">
        <color rgb="FF303030"/>
      </top>
      <bottom/>
      <diagonal/>
    </border>
    <border>
      <left/>
      <right style="thin">
        <color rgb="FF303030"/>
      </right>
      <top style="thin">
        <color rgb="FF303030"/>
      </top>
      <bottom style="thin">
        <color rgb="FF303030"/>
      </bottom>
      <diagonal/>
    </border>
    <border>
      <left style="thin">
        <color rgb="FF303030"/>
      </left>
      <right/>
      <top style="thin">
        <color rgb="FF303030"/>
      </top>
      <bottom/>
      <diagonal/>
    </border>
    <border>
      <left/>
      <right style="thin">
        <color rgb="FF303030"/>
      </right>
      <top style="thin">
        <color rgb="FF303030"/>
      </top>
      <bottom/>
      <diagonal/>
    </border>
    <border>
      <left style="thin">
        <color rgb="FF303030"/>
      </left>
      <right/>
      <top/>
      <bottom/>
      <diagonal/>
    </border>
    <border>
      <left/>
      <right style="thin">
        <color rgb="FF303030"/>
      </right>
      <top/>
      <bottom/>
      <diagonal/>
    </border>
    <border>
      <left style="thin">
        <color rgb="FF303030"/>
      </left>
      <right/>
      <top/>
      <bottom style="thin">
        <color rgb="FF303030"/>
      </bottom>
      <diagonal/>
    </border>
    <border>
      <left/>
      <right/>
      <top/>
      <bottom style="thin">
        <color rgb="FF303030"/>
      </bottom>
      <diagonal/>
    </border>
    <border>
      <left/>
      <right style="thin">
        <color rgb="FF303030"/>
      </right>
      <top/>
      <bottom style="thin">
        <color rgb="FF303030"/>
      </bottom>
      <diagonal/>
    </border>
    <border>
      <left style="thin">
        <color rgb="FF303030"/>
      </left>
      <right style="thin">
        <color rgb="FF303030"/>
      </right>
      <top style="thin">
        <color rgb="FF303030"/>
      </top>
      <bottom style="thin">
        <color rgb="FF303030"/>
      </bottom>
      <diagonal/>
    </border>
    <border>
      <left style="thin">
        <color rgb="FF303030"/>
      </left>
      <right style="thin">
        <color rgb="FF303030"/>
      </right>
      <top/>
      <bottom/>
      <diagonal/>
    </border>
    <border>
      <left style="thin">
        <color rgb="FF303030"/>
      </left>
      <right style="thin">
        <color rgb="FF303030"/>
      </right>
      <top/>
      <bottom style="thin">
        <color rgb="FF303030"/>
      </bottom>
      <diagonal/>
    </border>
    <border>
      <left/>
      <right/>
      <top/>
      <bottom style="medium">
        <color rgb="FF303030"/>
      </bottom>
      <diagonal/>
    </border>
    <border>
      <left style="medium">
        <color rgb="FF303030"/>
      </left>
      <right/>
      <top style="medium">
        <color rgb="FF303030"/>
      </top>
      <bottom style="thin">
        <color rgb="FF303030"/>
      </bottom>
      <diagonal/>
    </border>
    <border>
      <left/>
      <right style="thin">
        <color rgb="FF303030"/>
      </right>
      <top style="medium">
        <color rgb="FF303030"/>
      </top>
      <bottom style="thin">
        <color rgb="FF303030"/>
      </bottom>
      <diagonal/>
    </border>
    <border>
      <left style="thin">
        <color rgb="FF303030"/>
      </left>
      <right/>
      <top style="medium">
        <color rgb="FF303030"/>
      </top>
      <bottom style="thin">
        <color rgb="FF303030"/>
      </bottom>
      <diagonal/>
    </border>
    <border>
      <left/>
      <right/>
      <top style="medium">
        <color rgb="FF303030"/>
      </top>
      <bottom style="thin">
        <color rgb="FF303030"/>
      </bottom>
      <diagonal/>
    </border>
    <border>
      <left/>
      <right style="medium">
        <color rgb="FF303030"/>
      </right>
      <top style="medium">
        <color rgb="FF303030"/>
      </top>
      <bottom style="thin">
        <color rgb="FF303030"/>
      </bottom>
      <diagonal/>
    </border>
    <border>
      <left style="medium">
        <color rgb="FF303030"/>
      </left>
      <right/>
      <top style="thin">
        <color rgb="FF303030"/>
      </top>
      <bottom/>
      <diagonal/>
    </border>
    <border>
      <left/>
      <right style="medium">
        <color rgb="FF303030"/>
      </right>
      <top style="thin">
        <color rgb="FF303030"/>
      </top>
      <bottom/>
      <diagonal/>
    </border>
    <border>
      <left style="medium">
        <color rgb="FF303030"/>
      </left>
      <right/>
      <top/>
      <bottom/>
      <diagonal/>
    </border>
    <border>
      <left/>
      <right style="medium">
        <color rgb="FF303030"/>
      </right>
      <top/>
      <bottom/>
      <diagonal/>
    </border>
    <border>
      <left style="medium">
        <color rgb="FF303030"/>
      </left>
      <right/>
      <top/>
      <bottom style="thin">
        <color rgb="FF303030"/>
      </bottom>
      <diagonal/>
    </border>
    <border>
      <left/>
      <right style="medium">
        <color rgb="FF303030"/>
      </right>
      <top/>
      <bottom style="thin">
        <color rgb="FF303030"/>
      </bottom>
      <diagonal/>
    </border>
    <border>
      <left style="medium">
        <color rgb="FF303030"/>
      </left>
      <right/>
      <top style="thin">
        <color rgb="FF303030"/>
      </top>
      <bottom style="thin">
        <color rgb="FF303030"/>
      </bottom>
      <diagonal/>
    </border>
    <border>
      <left/>
      <right style="medium">
        <color rgb="FF303030"/>
      </right>
      <top style="thin">
        <color rgb="FF303030"/>
      </top>
      <bottom style="thin">
        <color rgb="FF303030"/>
      </bottom>
      <diagonal/>
    </border>
    <border>
      <left style="medium">
        <color rgb="FF303030"/>
      </left>
      <right/>
      <top style="thin">
        <color rgb="FF303030"/>
      </top>
      <bottom style="medium">
        <color rgb="FF303030"/>
      </bottom>
      <diagonal/>
    </border>
    <border>
      <left/>
      <right style="thin">
        <color rgb="FF303030"/>
      </right>
      <top style="thin">
        <color rgb="FF303030"/>
      </top>
      <bottom style="medium">
        <color rgb="FF303030"/>
      </bottom>
      <diagonal/>
    </border>
    <border>
      <left style="thin">
        <color rgb="FF303030"/>
      </left>
      <right/>
      <top style="thin">
        <color rgb="FF303030"/>
      </top>
      <bottom style="medium">
        <color rgb="FF303030"/>
      </bottom>
      <diagonal/>
    </border>
    <border>
      <left/>
      <right style="medium">
        <color rgb="FF303030"/>
      </right>
      <top style="thin">
        <color rgb="FF303030"/>
      </top>
      <bottom style="medium">
        <color rgb="FF303030"/>
      </bottom>
      <diagonal/>
    </border>
  </borders>
  <cellStyleXfs count="1">
    <xf numFmtId="0" fontId="0" fillId="0" borderId="0"/>
  </cellStyleXfs>
  <cellXfs count="105">
    <xf numFmtId="0" fontId="0" fillId="0" borderId="0" xfId="0"/>
    <xf numFmtId="0" fontId="7" fillId="2" borderId="0" xfId="0" applyFont="1" applyFill="1" applyBorder="1" applyAlignment="1">
      <alignment horizontal="center" wrapText="1"/>
    </xf>
    <xf numFmtId="0" fontId="2" fillId="2" borderId="0" xfId="0" applyFont="1" applyFill="1" applyBorder="1" applyAlignment="1">
      <alignment horizontal="center" wrapText="1"/>
    </xf>
    <xf numFmtId="165" fontId="0" fillId="0" borderId="0" xfId="0" applyNumberFormat="1" applyBorder="1" applyAlignment="1">
      <alignment horizontal="left"/>
    </xf>
    <xf numFmtId="0" fontId="0" fillId="0" borderId="0" xfId="0" applyAlignment="1">
      <alignment horizontal="center"/>
    </xf>
    <xf numFmtId="0" fontId="1" fillId="0" borderId="0" xfId="0" applyFont="1"/>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2" xfId="0" applyFont="1" applyBorder="1"/>
    <xf numFmtId="0" fontId="2" fillId="0" borderId="4" xfId="0" applyFont="1" applyBorder="1"/>
    <xf numFmtId="0" fontId="2" fillId="0" borderId="0" xfId="0" applyFont="1"/>
    <xf numFmtId="0" fontId="0" fillId="2" borderId="5" xfId="0" applyFill="1" applyBorder="1" applyAlignment="1">
      <alignment horizontal="center"/>
    </xf>
    <xf numFmtId="164" fontId="0" fillId="2" borderId="3" xfId="0" applyNumberFormat="1"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Border="1"/>
    <xf numFmtId="164" fontId="0" fillId="0" borderId="3" xfId="0" applyNumberFormat="1" applyBorder="1" applyAlignment="1">
      <alignment horizontal="center"/>
    </xf>
    <xf numFmtId="0" fontId="0" fillId="0" borderId="6" xfId="0" applyBorder="1"/>
    <xf numFmtId="0" fontId="0" fillId="2" borderId="7" xfId="0" applyFill="1" applyBorder="1" applyAlignment="1">
      <alignment horizontal="center"/>
    </xf>
    <xf numFmtId="164" fontId="0" fillId="2" borderId="0" xfId="0" applyNumberFormat="1" applyFill="1" applyBorder="1" applyAlignment="1">
      <alignment horizontal="center"/>
    </xf>
    <xf numFmtId="164" fontId="0" fillId="0" borderId="0" xfId="0" applyNumberFormat="1" applyBorder="1" applyAlignment="1">
      <alignment horizontal="center"/>
    </xf>
    <xf numFmtId="0" fontId="0" fillId="0" borderId="8" xfId="0" applyBorder="1"/>
    <xf numFmtId="0" fontId="0" fillId="2" borderId="9" xfId="0" applyFill="1" applyBorder="1" applyAlignment="1">
      <alignment horizontal="center"/>
    </xf>
    <xf numFmtId="164" fontId="0" fillId="2" borderId="10" xfId="0" applyNumberFormat="1" applyFill="1" applyBorder="1" applyAlignment="1">
      <alignment horizontal="center"/>
    </xf>
    <xf numFmtId="0" fontId="0" fillId="2" borderId="10" xfId="0" applyFill="1" applyBorder="1" applyAlignment="1">
      <alignment horizontal="center"/>
    </xf>
    <xf numFmtId="0" fontId="0" fillId="0" borderId="10" xfId="0" applyBorder="1"/>
    <xf numFmtId="164" fontId="0" fillId="0" borderId="10" xfId="0" applyNumberFormat="1" applyBorder="1" applyAlignment="1">
      <alignment horizontal="center"/>
    </xf>
    <xf numFmtId="0" fontId="0" fillId="0" borderId="11" xfId="0" applyBorder="1"/>
    <xf numFmtId="0" fontId="3" fillId="0" borderId="0" xfId="0" applyFont="1"/>
    <xf numFmtId="0" fontId="2" fillId="0" borderId="6" xfId="0" applyFont="1" applyBorder="1"/>
    <xf numFmtId="0" fontId="2" fillId="0" borderId="12" xfId="0" applyFont="1" applyBorder="1" applyAlignment="1">
      <alignment horizontal="center"/>
    </xf>
    <xf numFmtId="14" fontId="0" fillId="0" borderId="0" xfId="0" applyNumberFormat="1" applyBorder="1" applyAlignment="1">
      <alignment horizontal="center"/>
    </xf>
    <xf numFmtId="0" fontId="0" fillId="0" borderId="0" xfId="0" applyBorder="1" applyAlignment="1">
      <alignment horizontal="center"/>
    </xf>
    <xf numFmtId="14" fontId="0" fillId="2" borderId="0" xfId="0" applyNumberFormat="1" applyFill="1" applyBorder="1" applyAlignment="1">
      <alignment horizontal="center"/>
    </xf>
    <xf numFmtId="0" fontId="0" fillId="0" borderId="6" xfId="0" applyFont="1" applyBorder="1" applyAlignment="1">
      <alignment horizontal="left"/>
    </xf>
    <xf numFmtId="0" fontId="0" fillId="0" borderId="8" xfId="0" applyBorder="1" applyAlignment="1">
      <alignment horizontal="center"/>
    </xf>
    <xf numFmtId="0" fontId="0" fillId="0" borderId="8" xfId="0" applyFont="1" applyBorder="1" applyAlignment="1">
      <alignment horizontal="left"/>
    </xf>
    <xf numFmtId="0" fontId="0" fillId="0" borderId="13" xfId="0" applyBorder="1" applyAlignment="1">
      <alignment horizontal="center"/>
    </xf>
    <xf numFmtId="0" fontId="0" fillId="0" borderId="11" xfId="0" applyBorder="1" applyAlignment="1">
      <alignment horizontal="left"/>
    </xf>
    <xf numFmtId="0" fontId="0" fillId="0" borderId="14" xfId="0" applyBorder="1" applyAlignment="1">
      <alignment horizontal="center"/>
    </xf>
    <xf numFmtId="0" fontId="0" fillId="0" borderId="3" xfId="0" applyBorder="1"/>
    <xf numFmtId="0" fontId="2" fillId="0" borderId="3" xfId="0" applyFont="1" applyBorder="1" applyAlignment="1">
      <alignment horizontal="right"/>
    </xf>
    <xf numFmtId="0" fontId="0" fillId="0" borderId="3" xfId="0" applyBorder="1" applyAlignment="1">
      <alignment horizontal="center"/>
    </xf>
    <xf numFmtId="0" fontId="0" fillId="0" borderId="0" xfId="0" applyAlignment="1">
      <alignment horizontal="center" vertical="top"/>
    </xf>
    <xf numFmtId="0" fontId="0" fillId="0" borderId="0" xfId="0" applyAlignment="1">
      <alignment vertical="top" wrapText="1"/>
    </xf>
    <xf numFmtId="0" fontId="0" fillId="0" borderId="0" xfId="0" applyAlignment="1">
      <alignment vertical="top"/>
    </xf>
    <xf numFmtId="0" fontId="1" fillId="0" borderId="0" xfId="0" applyFont="1" applyAlignment="1">
      <alignment vertical="top"/>
    </xf>
    <xf numFmtId="0" fontId="1" fillId="0" borderId="0" xfId="0" applyFont="1" applyAlignment="1">
      <alignment horizontal="center" vertical="top"/>
    </xf>
    <xf numFmtId="17" fontId="0" fillId="0" borderId="0" xfId="0" applyNumberFormat="1" applyAlignment="1">
      <alignment horizontal="center" vertical="top"/>
    </xf>
    <xf numFmtId="0" fontId="2" fillId="2" borderId="15" xfId="0" applyFont="1" applyFill="1" applyBorder="1" applyAlignment="1">
      <alignment horizontal="center" vertical="top"/>
    </xf>
    <xf numFmtId="0" fontId="2" fillId="2" borderId="15" xfId="0" applyFont="1" applyFill="1" applyBorder="1" applyAlignment="1">
      <alignment vertical="top" wrapText="1"/>
    </xf>
    <xf numFmtId="0" fontId="0" fillId="0" borderId="0" xfId="0" applyFont="1" applyAlignment="1">
      <alignment vertical="top" wrapText="1"/>
    </xf>
    <xf numFmtId="0" fontId="0" fillId="0" borderId="0" xfId="0" applyFont="1" applyAlignment="1">
      <alignment horizontal="center" vertical="top"/>
    </xf>
    <xf numFmtId="0" fontId="0" fillId="3" borderId="0" xfId="0" applyFill="1"/>
    <xf numFmtId="166" fontId="0" fillId="3" borderId="0" xfId="0" applyNumberFormat="1" applyFill="1"/>
    <xf numFmtId="0" fontId="6" fillId="0" borderId="0" xfId="0" applyFont="1"/>
    <xf numFmtId="1" fontId="0" fillId="3" borderId="0" xfId="0" applyNumberFormat="1" applyFill="1"/>
    <xf numFmtId="0" fontId="2" fillId="2" borderId="0" xfId="0" applyFont="1" applyFill="1" applyBorder="1" applyAlignment="1">
      <alignment horizontal="center" wrapText="1"/>
    </xf>
    <xf numFmtId="0" fontId="2" fillId="2" borderId="15" xfId="0" applyFont="1" applyFill="1" applyBorder="1" applyAlignment="1">
      <alignment horizontal="center"/>
    </xf>
    <xf numFmtId="0" fontId="2" fillId="2" borderId="15" xfId="0" applyFont="1" applyFill="1" applyBorder="1" applyAlignment="1">
      <alignment wrapText="1"/>
    </xf>
    <xf numFmtId="0" fontId="2" fillId="2" borderId="15" xfId="0" applyFont="1" applyFill="1" applyBorder="1" applyAlignment="1">
      <alignment horizontal="center" wrapText="1"/>
    </xf>
    <xf numFmtId="0" fontId="0" fillId="0" borderId="0" xfId="0" applyAlignment="1">
      <alignment wrapText="1"/>
    </xf>
    <xf numFmtId="0" fontId="2" fillId="2" borderId="0" xfId="0" applyFont="1" applyFill="1" applyBorder="1" applyAlignment="1">
      <alignment horizontal="left" wrapText="1"/>
    </xf>
    <xf numFmtId="0" fontId="0" fillId="0" borderId="0" xfId="0" applyAlignment="1"/>
    <xf numFmtId="0" fontId="0" fillId="3" borderId="0" xfId="0" applyFill="1" applyAlignment="1">
      <alignment horizontal="center"/>
    </xf>
    <xf numFmtId="166" fontId="0" fillId="0" borderId="0" xfId="0" applyNumberFormat="1"/>
    <xf numFmtId="167" fontId="8" fillId="0" borderId="0" xfId="0" applyNumberFormat="1" applyFont="1" applyAlignment="1">
      <alignment horizontal="left" vertical="top"/>
    </xf>
    <xf numFmtId="167" fontId="8" fillId="0" borderId="0" xfId="0" applyNumberFormat="1" applyFont="1" applyAlignment="1">
      <alignment horizontal="center" vertical="top"/>
    </xf>
    <xf numFmtId="0" fontId="2" fillId="2" borderId="0" xfId="0" applyFont="1" applyFill="1" applyAlignment="1">
      <alignment vertical="top"/>
    </xf>
    <xf numFmtId="0" fontId="0" fillId="2" borderId="0" xfId="0" applyFill="1" applyAlignment="1">
      <alignment vertical="top"/>
    </xf>
    <xf numFmtId="0" fontId="2" fillId="0" borderId="0" xfId="0" applyFont="1" applyAlignment="1">
      <alignment horizontal="center" vertical="top"/>
    </xf>
    <xf numFmtId="0" fontId="2" fillId="2" borderId="0" xfId="0" applyFont="1" applyFill="1" applyAlignment="1">
      <alignment horizontal="center" vertical="top"/>
    </xf>
    <xf numFmtId="0" fontId="0" fillId="0" borderId="0" xfId="0" applyFont="1"/>
    <xf numFmtId="0" fontId="0" fillId="0" borderId="0" xfId="0" applyFont="1" applyAlignment="1">
      <alignment vertical="top"/>
    </xf>
    <xf numFmtId="167" fontId="8" fillId="0" borderId="0" xfId="0" applyNumberFormat="1" applyFont="1" applyAlignment="1">
      <alignment horizontal="left"/>
    </xf>
    <xf numFmtId="167" fontId="8" fillId="0" borderId="0" xfId="0" applyNumberFormat="1" applyFont="1" applyAlignment="1">
      <alignment horizontal="center"/>
    </xf>
    <xf numFmtId="0" fontId="2" fillId="2" borderId="0" xfId="0" applyFont="1" applyFill="1"/>
    <xf numFmtId="0" fontId="0" fillId="2" borderId="0" xfId="0" applyFill="1"/>
    <xf numFmtId="0" fontId="2" fillId="2" borderId="0" xfId="0" applyFont="1" applyFill="1" applyAlignment="1"/>
    <xf numFmtId="0" fontId="0" fillId="2" borderId="0" xfId="0" applyFill="1" applyAlignment="1"/>
    <xf numFmtId="0" fontId="2" fillId="0" borderId="0" xfId="0" applyFont="1" applyAlignment="1">
      <alignment horizontal="center"/>
    </xf>
    <xf numFmtId="0" fontId="2" fillId="2" borderId="0" xfId="0" applyFont="1" applyFill="1" applyAlignment="1">
      <alignment horizontal="center"/>
    </xf>
    <xf numFmtId="0" fontId="0" fillId="0" borderId="16" xfId="0" applyFont="1" applyBorder="1" applyAlignment="1">
      <alignment vertical="top"/>
    </xf>
    <xf numFmtId="0" fontId="2" fillId="0" borderId="17" xfId="0" applyFont="1" applyBorder="1" applyAlignment="1">
      <alignment horizontal="center" vertical="top"/>
    </xf>
    <xf numFmtId="0" fontId="0" fillId="0" borderId="18" xfId="0" applyFont="1" applyBorder="1" applyAlignment="1">
      <alignment vertical="top"/>
    </xf>
    <xf numFmtId="0" fontId="0" fillId="0" borderId="19" xfId="0" applyFont="1" applyBorder="1" applyAlignment="1">
      <alignment vertical="top"/>
    </xf>
    <xf numFmtId="0" fontId="0" fillId="0" borderId="20" xfId="0" applyBorder="1" applyAlignment="1">
      <alignment vertical="top"/>
    </xf>
    <xf numFmtId="0" fontId="0" fillId="0" borderId="21" xfId="0" applyFont="1" applyBorder="1" applyAlignment="1">
      <alignment vertical="top"/>
    </xf>
    <xf numFmtId="0" fontId="0" fillId="0" borderId="3" xfId="0" applyFont="1"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0" xfId="0" applyBorder="1" applyAlignment="1">
      <alignment vertical="top"/>
    </xf>
    <xf numFmtId="0" fontId="0" fillId="0" borderId="24" xfId="0" applyBorder="1" applyAlignment="1">
      <alignment vertical="top"/>
    </xf>
    <xf numFmtId="0" fontId="0" fillId="0" borderId="25" xfId="0" applyBorder="1" applyAlignment="1">
      <alignment vertical="top"/>
    </xf>
    <xf numFmtId="0" fontId="0" fillId="0" borderId="10" xfId="0" applyBorder="1" applyAlignment="1">
      <alignment vertical="top"/>
    </xf>
    <xf numFmtId="0" fontId="0" fillId="0" borderId="26" xfId="0" applyBorder="1" applyAlignment="1">
      <alignment vertical="top"/>
    </xf>
    <xf numFmtId="0" fontId="0" fillId="0" borderId="27" xfId="0" applyBorder="1" applyAlignment="1">
      <alignment vertical="top"/>
    </xf>
    <xf numFmtId="0" fontId="0" fillId="0" borderId="2" xfId="0" applyBorder="1" applyAlignment="1">
      <alignment vertical="top"/>
    </xf>
    <xf numFmtId="0" fontId="0" fillId="0" borderId="28" xfId="0" applyBorder="1" applyAlignment="1">
      <alignment vertical="top"/>
    </xf>
    <xf numFmtId="0" fontId="0" fillId="0" borderId="29" xfId="0" applyFont="1" applyBorder="1" applyAlignment="1">
      <alignment vertical="top" wrapText="1"/>
    </xf>
    <xf numFmtId="0" fontId="9" fillId="0" borderId="30" xfId="0" applyFont="1" applyBorder="1" applyAlignment="1">
      <alignment horizontal="center" vertical="center"/>
    </xf>
    <xf numFmtId="0" fontId="0" fillId="0" borderId="31" xfId="0" applyFont="1" applyBorder="1" applyAlignment="1">
      <alignment vertical="top" wrapText="1"/>
    </xf>
    <xf numFmtId="0" fontId="0" fillId="0" borderId="30" xfId="0" applyBorder="1" applyAlignment="1">
      <alignment vertical="top"/>
    </xf>
    <xf numFmtId="0" fontId="0" fillId="0" borderId="32" xfId="0" applyBorder="1" applyAlignment="1">
      <alignment vertical="top"/>
    </xf>
  </cellXfs>
  <cellStyles count="1">
    <cellStyle name="Normal" xfId="0" builtinId="0"/>
  </cellStyles>
  <dxfs count="33">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666699"/>
      </font>
    </dxf>
    <dxf>
      <font>
        <b/>
        <i val="0"/>
      </font>
    </dxf>
    <dxf>
      <font>
        <b val="0"/>
        <color rgb="FF666699"/>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B8B8B"/>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0303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7950067679350301"/>
          <c:y val="0.117438692098093"/>
          <c:w val="0.81617536471649899"/>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'Sp1'!$F$10:$AD$10</c:f>
              <c:numCache>
                <c:formatCode>General</c:formatCode>
                <c:ptCount val="25"/>
                <c:pt idx="0">
                  <c:v>37</c:v>
                </c:pt>
                <c:pt idx="1">
                  <c:v>34</c:v>
                </c:pt>
                <c:pt idx="2">
                  <c:v>31</c:v>
                </c:pt>
                <c:pt idx="3">
                  <c:v>26</c:v>
                </c:pt>
                <c:pt idx="4">
                  <c:v>25</c:v>
                </c:pt>
                <c:pt idx="5">
                  <c:v>23</c:v>
                </c:pt>
                <c:pt idx="6">
                  <c:v>20</c:v>
                </c:pt>
                <c:pt idx="7">
                  <c:v>17</c:v>
                </c:pt>
                <c:pt idx="8">
                  <c:v>14</c:v>
                </c:pt>
                <c:pt idx="9">
                  <c:v>12</c:v>
                </c:pt>
                <c:pt idx="10">
                  <c:v>11</c:v>
                </c:pt>
                <c:pt idx="11">
                  <c:v>7</c:v>
                </c:pt>
                <c:pt idx="12">
                  <c:v>5</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14BA-4794-8E4F-4989305FFD52}"/>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14BA-4794-8E4F-4989305FFD52}"/>
            </c:ext>
          </c:extLst>
        </c:ser>
        <c:dLbls>
          <c:showLegendKey val="0"/>
          <c:showVal val="0"/>
          <c:showCatName val="0"/>
          <c:showSerName val="0"/>
          <c:showPercent val="0"/>
          <c:showBubbleSize val="0"/>
        </c:dLbls>
        <c:gapWidth val="150"/>
        <c:axId val="70239215"/>
        <c:axId val="58082079"/>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'Sp1'!$F$12:$AD$12</c:f>
              <c:numCache>
                <c:formatCode>General</c:formatCode>
                <c:ptCount val="25"/>
                <c:pt idx="0">
                  <c:v>35.879120879120876</c:v>
                </c:pt>
                <c:pt idx="1">
                  <c:v>33.258241758241759</c:v>
                </c:pt>
                <c:pt idx="2">
                  <c:v>30.637362637362635</c:v>
                </c:pt>
                <c:pt idx="3">
                  <c:v>28.016483516483515</c:v>
                </c:pt>
                <c:pt idx="4">
                  <c:v>25.395604395604394</c:v>
                </c:pt>
                <c:pt idx="5">
                  <c:v>22.77472527472527</c:v>
                </c:pt>
                <c:pt idx="6">
                  <c:v>20.15384615384615</c:v>
                </c:pt>
                <c:pt idx="7">
                  <c:v>17.532967032967029</c:v>
                </c:pt>
                <c:pt idx="8">
                  <c:v>14.912087912087909</c:v>
                </c:pt>
                <c:pt idx="9">
                  <c:v>12.291208791208788</c:v>
                </c:pt>
                <c:pt idx="10">
                  <c:v>9.6703296703296644</c:v>
                </c:pt>
                <c:pt idx="11">
                  <c:v>7.0494505494505439</c:v>
                </c:pt>
                <c:pt idx="12">
                  <c:v>4.4285714285714235</c:v>
                </c:pt>
                <c:pt idx="13">
                  <c:v>1.8076923076922995</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14BA-4794-8E4F-4989305FFD52}"/>
            </c:ext>
          </c:extLst>
        </c:ser>
        <c:dLbls>
          <c:showLegendKey val="0"/>
          <c:showVal val="0"/>
          <c:showCatName val="0"/>
          <c:showSerName val="0"/>
          <c:showPercent val="0"/>
          <c:showBubbleSize val="0"/>
        </c:dLbls>
        <c:hiLowLines>
          <c:spPr>
            <a:ln>
              <a:noFill/>
            </a:ln>
          </c:spPr>
        </c:hiLowLines>
        <c:marker val="1"/>
        <c:smooth val="0"/>
        <c:axId val="34886249"/>
        <c:axId val="22684594"/>
      </c:lineChart>
      <c:catAx>
        <c:axId val="70239215"/>
        <c:scaling>
          <c:orientation val="minMax"/>
        </c:scaling>
        <c:delete val="1"/>
        <c:axPos val="b"/>
        <c:numFmt formatCode="General" sourceLinked="1"/>
        <c:majorTickMark val="out"/>
        <c:minorTickMark val="none"/>
        <c:tickLblPos val="nextTo"/>
        <c:crossAx val="58082079"/>
        <c:crosses val="autoZero"/>
        <c:auto val="1"/>
        <c:lblAlgn val="ctr"/>
        <c:lblOffset val="100"/>
        <c:noMultiLvlLbl val="1"/>
      </c:catAx>
      <c:valAx>
        <c:axId val="58082079"/>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70239215"/>
        <c:crossesAt val="1"/>
        <c:crossBetween val="between"/>
      </c:valAx>
      <c:catAx>
        <c:axId val="34886249"/>
        <c:scaling>
          <c:orientation val="minMax"/>
        </c:scaling>
        <c:delete val="1"/>
        <c:axPos val="b"/>
        <c:numFmt formatCode="General" sourceLinked="1"/>
        <c:majorTickMark val="out"/>
        <c:minorTickMark val="none"/>
        <c:tickLblPos val="nextTo"/>
        <c:crossAx val="22684594"/>
        <c:crosses val="autoZero"/>
        <c:auto val="1"/>
        <c:lblAlgn val="ctr"/>
        <c:lblOffset val="100"/>
        <c:noMultiLvlLbl val="1"/>
      </c:catAx>
      <c:valAx>
        <c:axId val="22684594"/>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crossAx val="34886249"/>
        <c:crossesAt val="1"/>
        <c:crossBetween val="between"/>
      </c:valAx>
      <c:spPr>
        <a:solidFill>
          <a:srgbClr val="C0C0C0"/>
        </a:solidFill>
        <a:ln w="12600">
          <a:solidFill>
            <a:srgbClr val="808080"/>
          </a:solidFill>
          <a:round/>
        </a:ln>
      </c:spPr>
    </c:plotArea>
    <c:legend>
      <c:legendPos val="r"/>
      <c:layout>
        <c:manualLayout>
          <c:xMode val="edge"/>
          <c:yMode val="edge"/>
          <c:x val="8.4477296726504694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'Sp2'!$F$10:$AD$10</c:f>
              <c:numCache>
                <c:formatCode>General</c:formatCode>
                <c:ptCount val="25"/>
                <c:pt idx="0">
                  <c:v>44</c:v>
                </c:pt>
                <c:pt idx="1">
                  <c:v>41</c:v>
                </c:pt>
                <c:pt idx="2">
                  <c:v>39</c:v>
                </c:pt>
                <c:pt idx="3">
                  <c:v>34</c:v>
                </c:pt>
                <c:pt idx="4">
                  <c:v>29</c:v>
                </c:pt>
                <c:pt idx="5">
                  <c:v>21</c:v>
                </c:pt>
                <c:pt idx="6">
                  <c:v>16</c:v>
                </c:pt>
                <c:pt idx="7">
                  <c:v>7</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591A-46DA-9760-30084DFF24D3}"/>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'Sp2'!$F$11:$AD$11</c:f>
              <c:numCache>
                <c:formatCode>General</c:formatCode>
                <c:ptCount val="25"/>
                <c:pt idx="0">
                  <c:v>44</c:v>
                </c:pt>
                <c:pt idx="1">
                  <c:v>40.857142857142854</c:v>
                </c:pt>
                <c:pt idx="2">
                  <c:v>37.714285714285715</c:v>
                </c:pt>
                <c:pt idx="3">
                  <c:v>34.571428571428569</c:v>
                </c:pt>
                <c:pt idx="4">
                  <c:v>31.428571428571431</c:v>
                </c:pt>
                <c:pt idx="5">
                  <c:v>28.285714285714285</c:v>
                </c:pt>
                <c:pt idx="6">
                  <c:v>25.142857142857142</c:v>
                </c:pt>
                <c:pt idx="7">
                  <c:v>22</c:v>
                </c:pt>
                <c:pt idx="8">
                  <c:v>18.857142857142858</c:v>
                </c:pt>
                <c:pt idx="9">
                  <c:v>15.714285714285715</c:v>
                </c:pt>
                <c:pt idx="10">
                  <c:v>12.571428571428573</c:v>
                </c:pt>
                <c:pt idx="11">
                  <c:v>9.4285714285714306</c:v>
                </c:pt>
                <c:pt idx="12">
                  <c:v>6.2857142857142847</c:v>
                </c:pt>
                <c:pt idx="13">
                  <c:v>3.1428571428571459</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591A-46DA-9760-30084DFF24D3}"/>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'Sp2'!$F$12:$AD$12</c:f>
              <c:numCache>
                <c:formatCode>General</c:formatCode>
                <c:ptCount val="25"/>
                <c:pt idx="0">
                  <c:v>47.333333333333329</c:v>
                </c:pt>
                <c:pt idx="1">
                  <c:v>42.05952380952381</c:v>
                </c:pt>
                <c:pt idx="2">
                  <c:v>36.785714285714285</c:v>
                </c:pt>
                <c:pt idx="3">
                  <c:v>31.511904761904763</c:v>
                </c:pt>
                <c:pt idx="4">
                  <c:v>26.238095238095241</c:v>
                </c:pt>
                <c:pt idx="5">
                  <c:v>20.964285714285715</c:v>
                </c:pt>
                <c:pt idx="6">
                  <c:v>15.690476190476197</c:v>
                </c:pt>
                <c:pt idx="7">
                  <c:v>10.416666666666671</c:v>
                </c:pt>
                <c:pt idx="8">
                  <c:v>5.1428571428571459</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591A-46DA-9760-30084DFF24D3}"/>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absolute">
    <xdr:from>
      <xdr:col>4</xdr:col>
      <xdr:colOff>66600</xdr:colOff>
      <xdr:row>0</xdr:row>
      <xdr:rowOff>95400</xdr:rowOff>
    </xdr:from>
    <xdr:to>
      <xdr:col>6</xdr:col>
      <xdr:colOff>913320</xdr:colOff>
      <xdr:row>1</xdr:row>
      <xdr:rowOff>84960</xdr:rowOff>
    </xdr:to>
    <xdr:sp macro="" textlink="">
      <xdr:nvSpPr>
        <xdr:cNvPr id="2" name="CustomShape 1" hidden="1">
          <a:extLst>
            <a:ext uri="{FF2B5EF4-FFF2-40B4-BE49-F238E27FC236}">
              <a16:creationId xmlns:a16="http://schemas.microsoft.com/office/drawing/2014/main" id="{00000000-0008-0000-0100-000002000000}"/>
            </a:ext>
          </a:extLst>
        </xdr:cNvPr>
        <xdr:cNvSpPr/>
      </xdr:nvSpPr>
      <xdr:spPr>
        <a:xfrm>
          <a:off x="4888080" y="95400"/>
          <a:ext cx="2133000" cy="2102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Product Backlog</a:t>
          </a:r>
          <a:endParaRPr lang="en-NZ" sz="1000" b="0" strike="noStrike" spc="-1">
            <a:latin typeface="Times New Roman"/>
          </a:endParaRPr>
        </a:p>
      </xdr:txBody>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3" name="CustomShape 1" hidden="1">
          <a:extLst>
            <a:ext uri="{FF2B5EF4-FFF2-40B4-BE49-F238E27FC236}">
              <a16:creationId xmlns:a16="http://schemas.microsoft.com/office/drawing/2014/main" id="{00000000-0008-0000-0100-000003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4" name="CustomShape 1" hidden="1">
          <a:extLst>
            <a:ext uri="{FF2B5EF4-FFF2-40B4-BE49-F238E27FC236}">
              <a16:creationId xmlns:a16="http://schemas.microsoft.com/office/drawing/2014/main" id="{00000000-0008-0000-0100-000004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5" name="CustomShape 1" hidden="1">
          <a:extLst>
            <a:ext uri="{FF2B5EF4-FFF2-40B4-BE49-F238E27FC236}">
              <a16:creationId xmlns:a16="http://schemas.microsoft.com/office/drawing/2014/main" id="{00000000-0008-0000-0100-000005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6" name="CustomShape 1" hidden="1">
          <a:extLst>
            <a:ext uri="{FF2B5EF4-FFF2-40B4-BE49-F238E27FC236}">
              <a16:creationId xmlns:a16="http://schemas.microsoft.com/office/drawing/2014/main" id="{00000000-0008-0000-0100-000006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7" name="CustomShape 1" hidden="1">
          <a:extLst>
            <a:ext uri="{FF2B5EF4-FFF2-40B4-BE49-F238E27FC236}">
              <a16:creationId xmlns:a16="http://schemas.microsoft.com/office/drawing/2014/main" id="{00000000-0008-0000-0100-000007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6</xdr:col>
      <xdr:colOff>1684020</xdr:colOff>
      <xdr:row>19</xdr:row>
      <xdr:rowOff>373380</xdr:rowOff>
    </xdr:to>
    <xdr:sp macro="" textlink="">
      <xdr:nvSpPr>
        <xdr:cNvPr id="1034" name="shapetype_202" hidden="1">
          <a:extLst>
            <a:ext uri="{FF2B5EF4-FFF2-40B4-BE49-F238E27FC236}">
              <a16:creationId xmlns:a16="http://schemas.microsoft.com/office/drawing/2014/main" id="{00000000-0008-0000-01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2" name="shapetype_202" hidden="1">
          <a:extLst>
            <a:ext uri="{FF2B5EF4-FFF2-40B4-BE49-F238E27FC236}">
              <a16:creationId xmlns:a16="http://schemas.microsoft.com/office/drawing/2014/main" id="{00000000-0008-0000-01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0" name="shapetype_202" hidden="1">
          <a:extLst>
            <a:ext uri="{FF2B5EF4-FFF2-40B4-BE49-F238E27FC236}">
              <a16:creationId xmlns:a16="http://schemas.microsoft.com/office/drawing/2014/main" id="{00000000-0008-0000-01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8" name="shapetype_202" hidden="1">
          <a:extLst>
            <a:ext uri="{FF2B5EF4-FFF2-40B4-BE49-F238E27FC236}">
              <a16:creationId xmlns:a16="http://schemas.microsoft.com/office/drawing/2014/main" id="{00000000-0008-0000-01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6" name="shapetype_202" hidden="1">
          <a:extLst>
            <a:ext uri="{FF2B5EF4-FFF2-40B4-BE49-F238E27FC236}">
              <a16:creationId xmlns:a16="http://schemas.microsoft.com/office/drawing/2014/main" id="{00000000-0008-0000-01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29</xdr:col>
      <xdr:colOff>405720</xdr:colOff>
      <xdr:row>75</xdr:row>
      <xdr:rowOff>88200</xdr:rowOff>
    </xdr:to>
    <xdr:sp macro="" textlink="">
      <xdr:nvSpPr>
        <xdr:cNvPr id="6" name="CustomShape 1" hidden="1">
          <a:extLst>
            <a:ext uri="{FF2B5EF4-FFF2-40B4-BE49-F238E27FC236}">
              <a16:creationId xmlns:a16="http://schemas.microsoft.com/office/drawing/2014/main" id="{00000000-0008-0000-0200-000006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7" name="CustomShape 1" hidden="1">
          <a:extLst>
            <a:ext uri="{FF2B5EF4-FFF2-40B4-BE49-F238E27FC236}">
              <a16:creationId xmlns:a16="http://schemas.microsoft.com/office/drawing/2014/main" id="{00000000-0008-0000-0200-000007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8" name="CustomShape 1" hidden="1">
          <a:extLst>
            <a:ext uri="{FF2B5EF4-FFF2-40B4-BE49-F238E27FC236}">
              <a16:creationId xmlns:a16="http://schemas.microsoft.com/office/drawing/2014/main" id="{00000000-0008-0000-0200-000008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23</xdr:col>
      <xdr:colOff>266700</xdr:colOff>
      <xdr:row>44</xdr:row>
      <xdr:rowOff>22860</xdr:rowOff>
    </xdr:to>
    <xdr:sp macro="" textlink="">
      <xdr:nvSpPr>
        <xdr:cNvPr id="2054" name="shapetype_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2" name="shapetype_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0" name="shapetype_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487080</xdr:colOff>
      <xdr:row>0</xdr:row>
      <xdr:rowOff>38160</xdr:rowOff>
    </xdr:from>
    <xdr:to>
      <xdr:col>29</xdr:col>
      <xdr:colOff>250920</xdr:colOff>
      <xdr:row>7</xdr:row>
      <xdr:rowOff>132480</xdr:rowOff>
    </xdr:to>
    <xdr:graphicFrame macro="">
      <xdr:nvGraphicFramePr>
        <xdr:cNvPr id="9" name="Chart 2">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2008440</xdr:colOff>
      <xdr:row>7</xdr:row>
      <xdr:rowOff>27720</xdr:rowOff>
    </xdr:to>
    <xdr:sp macro="" textlink="">
      <xdr:nvSpPr>
        <xdr:cNvPr id="10" name="CustomShape 1" hidden="1">
          <a:extLst>
            <a:ext uri="{FF2B5EF4-FFF2-40B4-BE49-F238E27FC236}">
              <a16:creationId xmlns:a16="http://schemas.microsoft.com/office/drawing/2014/main" id="{00000000-0008-0000-0300-00000A000000}"/>
            </a:ext>
          </a:extLst>
        </xdr:cNvPr>
        <xdr:cNvSpPr/>
      </xdr:nvSpPr>
      <xdr:spPr>
        <a:xfrm>
          <a:off x="237960" y="977040"/>
          <a:ext cx="177048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2257560</xdr:colOff>
      <xdr:row>5</xdr:row>
      <xdr:rowOff>85680</xdr:rowOff>
    </xdr:from>
    <xdr:to>
      <xdr:col>2</xdr:col>
      <xdr:colOff>294840</xdr:colOff>
      <xdr:row>7</xdr:row>
      <xdr:rowOff>27720</xdr:rowOff>
    </xdr:to>
    <xdr:sp macro="" textlink="">
      <xdr:nvSpPr>
        <xdr:cNvPr id="11" name="CustomShape 1" hidden="1">
          <a:extLst>
            <a:ext uri="{FF2B5EF4-FFF2-40B4-BE49-F238E27FC236}">
              <a16:creationId xmlns:a16="http://schemas.microsoft.com/office/drawing/2014/main" id="{00000000-0008-0000-0300-00000B000000}"/>
            </a:ext>
          </a:extLst>
        </xdr:cNvPr>
        <xdr:cNvSpPr/>
      </xdr:nvSpPr>
      <xdr:spPr>
        <a:xfrm>
          <a:off x="2257560" y="977040"/>
          <a:ext cx="169776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23</xdr:col>
      <xdr:colOff>75600</xdr:colOff>
      <xdr:row>79</xdr:row>
      <xdr:rowOff>52560</xdr:rowOff>
    </xdr:to>
    <xdr:sp macro="" textlink="">
      <xdr:nvSpPr>
        <xdr:cNvPr id="12" name="CustomShape 1" hidden="1">
          <a:extLst>
            <a:ext uri="{FF2B5EF4-FFF2-40B4-BE49-F238E27FC236}">
              <a16:creationId xmlns:a16="http://schemas.microsoft.com/office/drawing/2014/main" id="{00000000-0008-0000-0300-00000C000000}"/>
            </a:ext>
          </a:extLst>
        </xdr:cNvPr>
        <xdr:cNvSpPr/>
      </xdr:nvSpPr>
      <xdr:spPr>
        <a:xfrm>
          <a:off x="0" y="0"/>
          <a:ext cx="11667960" cy="1285416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0</xdr:colOff>
      <xdr:row>48</xdr:row>
      <xdr:rowOff>0</xdr:rowOff>
    </xdr:to>
    <xdr:sp macro="" textlink="">
      <xdr:nvSpPr>
        <xdr:cNvPr id="3074" name="shapetype_202" hidden="1">
          <a:extLst>
            <a:ext uri="{FF2B5EF4-FFF2-40B4-BE49-F238E27FC236}">
              <a16:creationId xmlns:a16="http://schemas.microsoft.com/office/drawing/2014/main" id="{00000000-0008-0000-03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13" name="Chart 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14" name="CustomShape 1" hidden="1">
          <a:extLst>
            <a:ext uri="{FF2B5EF4-FFF2-40B4-BE49-F238E27FC236}">
              <a16:creationId xmlns:a16="http://schemas.microsoft.com/office/drawing/2014/main" id="{00000000-0008-0000-0400-00000E000000}"/>
            </a:ext>
          </a:extLst>
        </xdr:cNvPr>
        <xdr:cNvSpPr/>
      </xdr:nvSpPr>
      <xdr:spPr>
        <a:xfrm>
          <a:off x="237960" y="977040"/>
          <a:ext cx="149436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15" name="CustomShape 1" hidden="1">
          <a:extLst>
            <a:ext uri="{FF2B5EF4-FFF2-40B4-BE49-F238E27FC236}">
              <a16:creationId xmlns:a16="http://schemas.microsoft.com/office/drawing/2014/main" id="{00000000-0008-0000-0400-00000F000000}"/>
            </a:ext>
          </a:extLst>
        </xdr:cNvPr>
        <xdr:cNvSpPr/>
      </xdr:nvSpPr>
      <xdr:spPr>
        <a:xfrm>
          <a:off x="2000160" y="977040"/>
          <a:ext cx="152532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16" name="CustomShape 1" hidden="1">
          <a:extLst>
            <a:ext uri="{FF2B5EF4-FFF2-40B4-BE49-F238E27FC236}">
              <a16:creationId xmlns:a16="http://schemas.microsoft.com/office/drawing/2014/main" id="{00000000-0008-0000-0400-000010000000}"/>
            </a:ext>
          </a:extLst>
        </xdr:cNvPr>
        <xdr:cNvSpPr/>
      </xdr:nvSpPr>
      <xdr:spPr>
        <a:xfrm>
          <a:off x="0" y="0"/>
          <a:ext cx="11674080" cy="12881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12</xdr:col>
      <xdr:colOff>152400</xdr:colOff>
      <xdr:row>48</xdr:row>
      <xdr:rowOff>22860</xdr:rowOff>
    </xdr:to>
    <xdr:sp macro="" textlink="">
      <xdr:nvSpPr>
        <xdr:cNvPr id="4098" name="shapetype_202" hidden="1">
          <a:extLst>
            <a:ext uri="{FF2B5EF4-FFF2-40B4-BE49-F238E27FC236}">
              <a16:creationId xmlns:a16="http://schemas.microsoft.com/office/drawing/2014/main" id="{00000000-0008-0000-0400-00000210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31"/>
  <sheetViews>
    <sheetView zoomScaleNormal="100" workbookViewId="0">
      <selection activeCell="F16" sqref="F16"/>
    </sheetView>
  </sheetViews>
  <sheetFormatPr defaultRowHeight="13.2" x14ac:dyDescent="0.25"/>
  <cols>
    <col min="1" max="1" width="7.77734375" customWidth="1"/>
    <col min="2" max="2" width="10.44140625" customWidth="1"/>
    <col min="3" max="3" width="9.44140625" customWidth="1"/>
    <col min="4" max="5" width="10.6640625" customWidth="1"/>
    <col min="6" max="6" width="9" customWidth="1"/>
    <col min="7" max="7" width="13.6640625" style="4" customWidth="1"/>
    <col min="8" max="8" width="102" customWidth="1"/>
    <col min="9" max="9" width="10.6640625" customWidth="1"/>
    <col min="10" max="1025" width="9" customWidth="1"/>
  </cols>
  <sheetData>
    <row r="1" spans="1:10" ht="17.399999999999999" x14ac:dyDescent="0.3">
      <c r="A1" s="5" t="s">
        <v>0</v>
      </c>
    </row>
    <row r="3" spans="1:10" x14ac:dyDescent="0.25">
      <c r="A3" s="6" t="s">
        <v>1</v>
      </c>
      <c r="B3" s="7" t="s">
        <v>2</v>
      </c>
      <c r="C3" s="8" t="s">
        <v>3</v>
      </c>
      <c r="D3" s="8" t="s">
        <v>4</v>
      </c>
      <c r="E3" s="7" t="s">
        <v>5</v>
      </c>
      <c r="F3" s="9" t="s">
        <v>6</v>
      </c>
      <c r="G3" s="7" t="s">
        <v>7</v>
      </c>
      <c r="H3" s="10" t="s">
        <v>8</v>
      </c>
      <c r="I3" s="11"/>
      <c r="J3" s="11"/>
    </row>
    <row r="4" spans="1:10" x14ac:dyDescent="0.25">
      <c r="A4" s="12">
        <v>1</v>
      </c>
      <c r="B4" s="13">
        <f>IF(OR(B16="",A4=""),"",B16)</f>
        <v>43927</v>
      </c>
      <c r="C4" s="14">
        <f t="shared" ref="C4:C10" si="0">IF(A4="","",SUMIF(I$16:I$30,A4,C$16:C$30))</f>
        <v>14</v>
      </c>
      <c r="D4" s="13">
        <f t="shared" ref="D4:D10" si="1">IF(OR(B4="",C4=""),"",B4+C4-1)</f>
        <v>43940</v>
      </c>
      <c r="E4" s="15">
        <f>IF(A4="","",SUMIF(I$16:I$30,'Release Plan'!A4,E$16:E$30))</f>
        <v>40</v>
      </c>
      <c r="F4" s="16"/>
      <c r="G4" s="17"/>
      <c r="H4" s="18"/>
    </row>
    <row r="5" spans="1:10" x14ac:dyDescent="0.25">
      <c r="A5" s="19">
        <v>2</v>
      </c>
      <c r="B5" s="20">
        <f>IF(A5="","",B4+C4)</f>
        <v>43941</v>
      </c>
      <c r="C5" s="15">
        <f t="shared" si="0"/>
        <v>14</v>
      </c>
      <c r="D5" s="20">
        <f t="shared" si="1"/>
        <v>43954</v>
      </c>
      <c r="E5" s="15">
        <f>IF(A5="","",SUMIF(I$16:I$30,'Release Plan'!A5,E$16:E$30))</f>
        <v>44</v>
      </c>
      <c r="F5" s="16"/>
      <c r="G5" s="21"/>
      <c r="H5" s="22"/>
    </row>
    <row r="6" spans="1:10" x14ac:dyDescent="0.25">
      <c r="A6" s="19">
        <v>3</v>
      </c>
      <c r="B6" s="20">
        <v>43955</v>
      </c>
      <c r="C6" s="15">
        <f t="shared" si="0"/>
        <v>14</v>
      </c>
      <c r="D6" s="20">
        <f t="shared" si="1"/>
        <v>43968</v>
      </c>
      <c r="E6" s="15">
        <f>IF(A6="","",SUMIF(I$16:I$30,'Release Plan'!A6,E$16:E$30))</f>
        <v>40</v>
      </c>
      <c r="F6" s="16"/>
      <c r="G6" s="21"/>
      <c r="H6" s="22"/>
    </row>
    <row r="7" spans="1:10" x14ac:dyDescent="0.25">
      <c r="A7" s="19"/>
      <c r="B7" s="20"/>
      <c r="C7" s="15" t="str">
        <f t="shared" si="0"/>
        <v/>
      </c>
      <c r="D7" s="20" t="str">
        <f t="shared" si="1"/>
        <v/>
      </c>
      <c r="E7" s="15" t="str">
        <f>IF(A7="","",SUMIF(I$16:I$30,'Release Plan'!A7,E$16:E$30))</f>
        <v/>
      </c>
      <c r="F7" s="16"/>
      <c r="G7" s="21"/>
      <c r="H7" s="22"/>
    </row>
    <row r="8" spans="1:10" x14ac:dyDescent="0.25">
      <c r="A8" s="19"/>
      <c r="B8" s="20"/>
      <c r="C8" s="15" t="str">
        <f t="shared" si="0"/>
        <v/>
      </c>
      <c r="D8" s="20" t="str">
        <f t="shared" si="1"/>
        <v/>
      </c>
      <c r="E8" s="15" t="str">
        <f>IF(A8="","",SUMIF(I$16:I$30,'Release Plan'!A8,E$16:E$30))</f>
        <v/>
      </c>
      <c r="F8" s="16"/>
      <c r="G8" s="21"/>
      <c r="H8" s="22"/>
    </row>
    <row r="9" spans="1:10" x14ac:dyDescent="0.25">
      <c r="A9" s="19"/>
      <c r="B9" s="20"/>
      <c r="C9" s="15" t="str">
        <f t="shared" si="0"/>
        <v/>
      </c>
      <c r="D9" s="20" t="str">
        <f t="shared" si="1"/>
        <v/>
      </c>
      <c r="E9" s="15" t="str">
        <f>IF(A9="","",SUMIF(I$16:I$30,'Release Plan'!A9,E$16:E$30))</f>
        <v/>
      </c>
      <c r="F9" s="16"/>
      <c r="G9" s="21"/>
      <c r="H9" s="22"/>
    </row>
    <row r="10" spans="1:10" x14ac:dyDescent="0.25">
      <c r="A10" s="23"/>
      <c r="B10" s="24"/>
      <c r="C10" s="25" t="str">
        <f t="shared" si="0"/>
        <v/>
      </c>
      <c r="D10" s="24" t="str">
        <f t="shared" si="1"/>
        <v/>
      </c>
      <c r="E10" s="25" t="str">
        <f>IF(A10="","",SUMIF(I$16:I$30,'Release Plan'!A10,E$16:E$30))</f>
        <v/>
      </c>
      <c r="F10" s="26"/>
      <c r="G10" s="27"/>
      <c r="H10" s="28"/>
    </row>
    <row r="11" spans="1:10" x14ac:dyDescent="0.25">
      <c r="A11" s="29" t="s">
        <v>9</v>
      </c>
    </row>
    <row r="13" spans="1:10" ht="17.399999999999999" x14ac:dyDescent="0.3">
      <c r="A13" s="5" t="s">
        <v>10</v>
      </c>
    </row>
    <row r="15" spans="1:10" x14ac:dyDescent="0.25">
      <c r="A15" s="6" t="s">
        <v>11</v>
      </c>
      <c r="B15" s="7" t="s">
        <v>2</v>
      </c>
      <c r="C15" s="7" t="s">
        <v>3</v>
      </c>
      <c r="D15" s="7" t="s">
        <v>4</v>
      </c>
      <c r="E15" s="7" t="s">
        <v>5</v>
      </c>
      <c r="F15" s="9" t="s">
        <v>6</v>
      </c>
      <c r="G15" s="7" t="s">
        <v>7</v>
      </c>
      <c r="H15" s="30" t="s">
        <v>8</v>
      </c>
      <c r="I15" s="31" t="s">
        <v>12</v>
      </c>
      <c r="J15" s="11"/>
    </row>
    <row r="16" spans="1:10" x14ac:dyDescent="0.25">
      <c r="A16" s="15">
        <v>1</v>
      </c>
      <c r="B16" s="32">
        <v>43927</v>
      </c>
      <c r="C16" s="33">
        <v>14</v>
      </c>
      <c r="D16" s="34">
        <f>IF(AND(B16&lt;&gt;"",C16&lt;&gt;""),B16+C16-1,"")</f>
        <v>43940</v>
      </c>
      <c r="E16" s="15">
        <v>40</v>
      </c>
      <c r="F16" s="16" t="s">
        <v>25</v>
      </c>
      <c r="G16" s="33"/>
      <c r="H16" s="35" t="s">
        <v>14</v>
      </c>
      <c r="I16" s="36">
        <v>1</v>
      </c>
    </row>
    <row r="17" spans="1:9" x14ac:dyDescent="0.25">
      <c r="A17" s="15">
        <v>2</v>
      </c>
      <c r="B17" s="34">
        <f>IF(AND(B16&lt;&gt;"",C16&lt;&gt;"",C17&lt;&gt;""),B16+C16,"")</f>
        <v>43941</v>
      </c>
      <c r="C17" s="33">
        <v>14</v>
      </c>
      <c r="D17" s="34">
        <f>IF(AND(B17&lt;&gt;"",C17&lt;&gt;""),B17+C17-1,"")</f>
        <v>43954</v>
      </c>
      <c r="E17" s="15">
        <v>44</v>
      </c>
      <c r="F17" s="16" t="s">
        <v>13</v>
      </c>
      <c r="G17" s="33"/>
      <c r="H17" s="37" t="s">
        <v>15</v>
      </c>
      <c r="I17" s="38">
        <v>2</v>
      </c>
    </row>
    <row r="18" spans="1:9" x14ac:dyDescent="0.25">
      <c r="A18" s="15">
        <v>3</v>
      </c>
      <c r="B18" s="34">
        <f>IF(AND(B17&lt;&gt;"",C17&lt;&gt;"",C18&lt;&gt;""),B17+C17,"")</f>
        <v>43955</v>
      </c>
      <c r="C18" s="33">
        <v>14</v>
      </c>
      <c r="D18" s="34">
        <f>IF(AND(B18&lt;&gt;"",C18&lt;&gt;""),B18+C18-1,"")</f>
        <v>43968</v>
      </c>
      <c r="E18" s="15">
        <v>40</v>
      </c>
      <c r="F18" s="16" t="str">
        <f>IF(AND(OR(F17="Planned",F17="Ongoing"),C18&lt;&gt;""),"Planned","Unplanned")</f>
        <v>Planned</v>
      </c>
      <c r="G18" s="33"/>
      <c r="H18" s="37" t="s">
        <v>16</v>
      </c>
      <c r="I18" s="38">
        <v>3</v>
      </c>
    </row>
    <row r="19" spans="1:9" x14ac:dyDescent="0.25">
      <c r="A19" s="15"/>
      <c r="B19" s="34"/>
      <c r="C19" s="33"/>
      <c r="D19" s="34"/>
      <c r="E19" s="15"/>
      <c r="F19" s="16"/>
      <c r="G19" s="33"/>
      <c r="H19" s="37"/>
      <c r="I19" s="38"/>
    </row>
    <row r="20" spans="1:9" x14ac:dyDescent="0.25">
      <c r="A20" s="15"/>
      <c r="B20" s="34"/>
      <c r="C20" s="33"/>
      <c r="D20" s="34"/>
      <c r="E20" s="15"/>
      <c r="F20" s="16"/>
      <c r="G20" s="33"/>
      <c r="H20" s="37"/>
      <c r="I20" s="38"/>
    </row>
    <row r="21" spans="1:9" x14ac:dyDescent="0.25">
      <c r="A21" s="15"/>
      <c r="B21" s="34"/>
      <c r="C21" s="33"/>
      <c r="D21" s="34"/>
      <c r="E21" s="15"/>
      <c r="F21" s="16"/>
      <c r="G21" s="33"/>
      <c r="H21" s="37"/>
      <c r="I21" s="38"/>
    </row>
    <row r="22" spans="1:9" x14ac:dyDescent="0.25">
      <c r="A22" s="15" t="str">
        <f t="shared" ref="A22:A30" si="2">IF(AND(B22&lt;&gt;"",C22&lt;&gt;""),A21+1,"")</f>
        <v/>
      </c>
      <c r="B22" s="34" t="str">
        <f t="shared" ref="B22:B30" si="3">IF(AND(B21&lt;&gt;"",C21&lt;&gt;"",C22&lt;&gt;""),B21+C21,"")</f>
        <v/>
      </c>
      <c r="C22" s="33"/>
      <c r="D22" s="34" t="str">
        <f t="shared" ref="D22:D30" si="4">IF(AND(B22&lt;&gt;"",C22&lt;&gt;""),B22+C22-1,"")</f>
        <v/>
      </c>
      <c r="E22" s="15" t="str">
        <f>IF(A22="","",SUMIF('Product Backlog'!E$6:E$100,'Release Plan'!A22,'Product Backlog'!D$6:D$100))</f>
        <v/>
      </c>
      <c r="F22" s="16" t="str">
        <f t="shared" ref="F22:F30" si="5">IF(AND(OR(F21="Planned",F21="Ongoing"),C22&lt;&gt;""),"Planned","Unplanned")</f>
        <v>Unplanned</v>
      </c>
      <c r="G22" s="33"/>
      <c r="H22" s="37"/>
      <c r="I22" s="38"/>
    </row>
    <row r="23" spans="1:9" x14ac:dyDescent="0.25">
      <c r="A23" s="15" t="str">
        <f t="shared" si="2"/>
        <v/>
      </c>
      <c r="B23" s="34" t="str">
        <f t="shared" si="3"/>
        <v/>
      </c>
      <c r="C23" s="33"/>
      <c r="D23" s="34" t="str">
        <f t="shared" si="4"/>
        <v/>
      </c>
      <c r="E23" s="15" t="str">
        <f>IF(A23="","",SUMIF('Product Backlog'!E$6:E$100,'Release Plan'!A23,'Product Backlog'!D$6:D$100))</f>
        <v/>
      </c>
      <c r="F23" s="16" t="str">
        <f t="shared" si="5"/>
        <v>Unplanned</v>
      </c>
      <c r="G23" s="33"/>
      <c r="H23" s="37"/>
      <c r="I23" s="38"/>
    </row>
    <row r="24" spans="1:9" x14ac:dyDescent="0.25">
      <c r="A24" s="15" t="str">
        <f t="shared" si="2"/>
        <v/>
      </c>
      <c r="B24" s="34" t="str">
        <f t="shared" si="3"/>
        <v/>
      </c>
      <c r="C24" s="33"/>
      <c r="D24" s="34" t="str">
        <f t="shared" si="4"/>
        <v/>
      </c>
      <c r="E24" s="15" t="str">
        <f>IF(A24="","",SUMIF('Product Backlog'!E$6:E$100,'Release Plan'!A24,'Product Backlog'!D$6:D$100))</f>
        <v/>
      </c>
      <c r="F24" s="16" t="str">
        <f t="shared" si="5"/>
        <v>Unplanned</v>
      </c>
      <c r="G24" s="33"/>
      <c r="H24" s="37"/>
      <c r="I24" s="38"/>
    </row>
    <row r="25" spans="1:9" x14ac:dyDescent="0.25">
      <c r="A25" s="15" t="str">
        <f t="shared" si="2"/>
        <v/>
      </c>
      <c r="B25" s="34" t="str">
        <f t="shared" si="3"/>
        <v/>
      </c>
      <c r="C25" s="33"/>
      <c r="D25" s="34" t="str">
        <f t="shared" si="4"/>
        <v/>
      </c>
      <c r="E25" s="15" t="str">
        <f>IF(A25="","",SUMIF('Product Backlog'!E$6:E$100,'Release Plan'!A25,'Product Backlog'!D$6:D$100))</f>
        <v/>
      </c>
      <c r="F25" s="16" t="str">
        <f t="shared" si="5"/>
        <v>Unplanned</v>
      </c>
      <c r="G25" s="33"/>
      <c r="H25" s="37"/>
      <c r="I25" s="38"/>
    </row>
    <row r="26" spans="1:9" x14ac:dyDescent="0.25">
      <c r="A26" s="15" t="str">
        <f t="shared" si="2"/>
        <v/>
      </c>
      <c r="B26" s="34" t="str">
        <f t="shared" si="3"/>
        <v/>
      </c>
      <c r="C26" s="33"/>
      <c r="D26" s="34" t="str">
        <f t="shared" si="4"/>
        <v/>
      </c>
      <c r="E26" s="15" t="str">
        <f>IF(A26="","",SUMIF('Product Backlog'!E$6:E$100,'Release Plan'!A26,'Product Backlog'!D$6:D$100))</f>
        <v/>
      </c>
      <c r="F26" s="16" t="str">
        <f t="shared" si="5"/>
        <v>Unplanned</v>
      </c>
      <c r="G26" s="33"/>
      <c r="H26" s="37"/>
      <c r="I26" s="38"/>
    </row>
    <row r="27" spans="1:9" x14ac:dyDescent="0.25">
      <c r="A27" s="15" t="str">
        <f t="shared" si="2"/>
        <v/>
      </c>
      <c r="B27" s="34" t="str">
        <f t="shared" si="3"/>
        <v/>
      </c>
      <c r="C27" s="33"/>
      <c r="D27" s="34" t="str">
        <f t="shared" si="4"/>
        <v/>
      </c>
      <c r="E27" s="15" t="str">
        <f>IF(A27="","",SUMIF('Product Backlog'!E$6:E$100,'Release Plan'!A27,'Product Backlog'!D$6:D$100))</f>
        <v/>
      </c>
      <c r="F27" s="16" t="str">
        <f t="shared" si="5"/>
        <v>Unplanned</v>
      </c>
      <c r="G27" s="33"/>
      <c r="H27" s="37"/>
      <c r="I27" s="38"/>
    </row>
    <row r="28" spans="1:9" x14ac:dyDescent="0.25">
      <c r="A28" s="15" t="str">
        <f t="shared" si="2"/>
        <v/>
      </c>
      <c r="B28" s="34" t="str">
        <f t="shared" si="3"/>
        <v/>
      </c>
      <c r="C28" s="33"/>
      <c r="D28" s="34" t="str">
        <f t="shared" si="4"/>
        <v/>
      </c>
      <c r="E28" s="15" t="str">
        <f>IF(A28="","",SUMIF('Product Backlog'!E$6:E$100,'Release Plan'!A28,'Product Backlog'!D$6:D$100))</f>
        <v/>
      </c>
      <c r="F28" s="16" t="str">
        <f t="shared" si="5"/>
        <v>Unplanned</v>
      </c>
      <c r="G28" s="33"/>
      <c r="H28" s="37"/>
      <c r="I28" s="38"/>
    </row>
    <row r="29" spans="1:9" x14ac:dyDescent="0.25">
      <c r="A29" s="15" t="str">
        <f t="shared" si="2"/>
        <v/>
      </c>
      <c r="B29" s="34" t="str">
        <f t="shared" si="3"/>
        <v/>
      </c>
      <c r="C29" s="33"/>
      <c r="D29" s="34" t="str">
        <f t="shared" si="4"/>
        <v/>
      </c>
      <c r="E29" s="15" t="str">
        <f>IF(A29="","",SUMIF('Product Backlog'!E$6:E$100,'Release Plan'!A29,'Product Backlog'!D$6:D$100))</f>
        <v/>
      </c>
      <c r="F29" s="16" t="str">
        <f t="shared" si="5"/>
        <v>Unplanned</v>
      </c>
      <c r="G29" s="33"/>
      <c r="H29" s="37"/>
      <c r="I29" s="38"/>
    </row>
    <row r="30" spans="1:9" x14ac:dyDescent="0.25">
      <c r="A30" s="15" t="str">
        <f t="shared" si="2"/>
        <v/>
      </c>
      <c r="B30" s="34" t="str">
        <f t="shared" si="3"/>
        <v/>
      </c>
      <c r="C30" s="33"/>
      <c r="D30" s="34" t="str">
        <f t="shared" si="4"/>
        <v/>
      </c>
      <c r="E30" s="15" t="str">
        <f>IF(A30="","",SUMIF('Product Backlog'!E$6:E$100,'Release Plan'!A30,'Product Backlog'!D$6:D$100))</f>
        <v/>
      </c>
      <c r="F30" s="16" t="str">
        <f t="shared" si="5"/>
        <v>Unplanned</v>
      </c>
      <c r="G30" s="33"/>
      <c r="H30" s="39"/>
      <c r="I30" s="40"/>
    </row>
    <row r="31" spans="1:9" x14ac:dyDescent="0.25">
      <c r="A31" s="41"/>
      <c r="B31" s="41"/>
      <c r="C31" s="41"/>
      <c r="D31" s="42" t="s">
        <v>17</v>
      </c>
      <c r="E31" s="14">
        <f>SUMIF('Product Backlog'!E$6:E$100,"",'Product Backlog'!D$6:D$100)-SUMIF('Product Backlog'!C$6:C$100,"Removed",'Product Backlog'!D$6:D$100)</f>
        <v>0</v>
      </c>
      <c r="F31" s="41"/>
      <c r="G31" s="43"/>
      <c r="H31" s="41"/>
    </row>
  </sheetData>
  <conditionalFormatting sqref="G4:H10 E31 E5:E10 A4:D10">
    <cfRule type="expression" dxfId="32" priority="2">
      <formula>$F4="Planned"</formula>
    </cfRule>
    <cfRule type="expression" dxfId="31" priority="3">
      <formula>$F4="Ongoing"</formula>
    </cfRule>
  </conditionalFormatting>
  <conditionalFormatting sqref="F4:F10 F16:F30">
    <cfRule type="expression" dxfId="30" priority="4">
      <formula>$F4="Planned"</formula>
    </cfRule>
    <cfRule type="expression" dxfId="29" priority="5">
      <formula>$F4="Ongoing"</formula>
    </cfRule>
    <cfRule type="cellIs" dxfId="28" priority="6" operator="equal">
      <formula>"Unplanned"</formula>
    </cfRule>
  </conditionalFormatting>
  <conditionalFormatting sqref="E4 G16:H30 A16:E30">
    <cfRule type="expression" dxfId="27" priority="7">
      <formula>OR($F4="Planned",$F4="Unplanned")</formula>
    </cfRule>
    <cfRule type="expression" dxfId="26" priority="8">
      <formula>$F4="Ongoing"</formula>
    </cfRule>
  </conditionalFormatting>
  <dataValidations count="1">
    <dataValidation type="list" allowBlank="1" showErrorMessage="1" sqref="F4:F10 F16:F30" xr:uid="{00000000-0002-0000-0000-000000000000}">
      <formula1>"Planned,Ongoing,Released,Unplanned"</formula1>
      <formula2>0</formula2>
    </dataValidation>
  </dataValidations>
  <pageMargins left="0.75" right="0.75" top="1" bottom="1"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K22"/>
  <sheetViews>
    <sheetView zoomScale="110" zoomScaleNormal="110" workbookViewId="0">
      <pane ySplit="4" topLeftCell="A40" activePane="bottomLeft" state="frozen"/>
      <selection pane="bottomLeft" activeCell="D9" sqref="D9"/>
    </sheetView>
  </sheetViews>
  <sheetFormatPr defaultRowHeight="13.2" x14ac:dyDescent="0.25"/>
  <cols>
    <col min="1" max="1" width="9.109375" style="44" customWidth="1"/>
    <col min="2" max="2" width="39.33203125" style="45" customWidth="1"/>
    <col min="3" max="3" width="10.77734375" style="44" customWidth="1"/>
    <col min="4" max="6" width="9.109375" style="44" customWidth="1"/>
    <col min="7" max="7" width="41.44140625" style="45" customWidth="1"/>
    <col min="8" max="1025" width="9.109375" style="46" customWidth="1"/>
  </cols>
  <sheetData>
    <row r="1" spans="1:7" ht="17.399999999999999" x14ac:dyDescent="0.25">
      <c r="A1" s="47" t="s">
        <v>18</v>
      </c>
      <c r="C1" s="48" t="s">
        <v>19</v>
      </c>
    </row>
    <row r="2" spans="1:7" x14ac:dyDescent="0.25">
      <c r="D2" s="49"/>
    </row>
    <row r="4" spans="1:7" x14ac:dyDescent="0.25">
      <c r="A4" s="50" t="s">
        <v>20</v>
      </c>
      <c r="B4" s="51" t="s">
        <v>21</v>
      </c>
      <c r="C4" s="50" t="s">
        <v>6</v>
      </c>
      <c r="D4" s="50" t="s">
        <v>5</v>
      </c>
      <c r="E4" s="50" t="s">
        <v>11</v>
      </c>
      <c r="F4" s="50" t="s">
        <v>22</v>
      </c>
      <c r="G4" s="51" t="s">
        <v>23</v>
      </c>
    </row>
    <row r="5" spans="1:7" ht="26.4" x14ac:dyDescent="0.25">
      <c r="A5" s="44">
        <v>1</v>
      </c>
      <c r="B5" s="52" t="s">
        <v>24</v>
      </c>
      <c r="C5" s="44" t="s">
        <v>25</v>
      </c>
      <c r="D5" s="44">
        <v>4</v>
      </c>
      <c r="E5" s="44">
        <v>1</v>
      </c>
      <c r="G5" s="52" t="s">
        <v>26</v>
      </c>
    </row>
    <row r="6" spans="1:7" ht="39.6" x14ac:dyDescent="0.25">
      <c r="A6" s="44">
        <v>2</v>
      </c>
      <c r="B6" s="52" t="s">
        <v>27</v>
      </c>
      <c r="C6" s="53" t="s">
        <v>13</v>
      </c>
      <c r="D6" s="44">
        <v>15</v>
      </c>
      <c r="E6" s="44">
        <v>2</v>
      </c>
      <c r="G6" s="52" t="s">
        <v>28</v>
      </c>
    </row>
    <row r="7" spans="1:7" ht="39.6" x14ac:dyDescent="0.25">
      <c r="A7" s="44">
        <v>3</v>
      </c>
      <c r="B7" s="52" t="s">
        <v>29</v>
      </c>
      <c r="C7" s="53" t="s">
        <v>25</v>
      </c>
      <c r="D7" s="44">
        <v>18</v>
      </c>
      <c r="E7" s="44">
        <v>1</v>
      </c>
      <c r="G7" s="52" t="s">
        <v>30</v>
      </c>
    </row>
    <row r="8" spans="1:7" ht="39.6" x14ac:dyDescent="0.25">
      <c r="A8" s="44">
        <v>4</v>
      </c>
      <c r="B8" s="52" t="s">
        <v>31</v>
      </c>
      <c r="C8" s="53" t="s">
        <v>25</v>
      </c>
      <c r="D8" s="44">
        <v>4</v>
      </c>
      <c r="E8" s="44">
        <v>1</v>
      </c>
      <c r="G8" s="52" t="s">
        <v>32</v>
      </c>
    </row>
    <row r="9" spans="1:7" ht="26.25" customHeight="1" x14ac:dyDescent="0.25">
      <c r="A9" s="44">
        <v>5</v>
      </c>
      <c r="B9" s="52" t="s">
        <v>33</v>
      </c>
      <c r="C9" s="53" t="s">
        <v>13</v>
      </c>
      <c r="D9" s="44">
        <v>5</v>
      </c>
      <c r="E9" s="44">
        <v>2</v>
      </c>
      <c r="G9" s="52" t="s">
        <v>34</v>
      </c>
    </row>
    <row r="10" spans="1:7" ht="26.25" customHeight="1" x14ac:dyDescent="0.25">
      <c r="A10" s="44">
        <v>6</v>
      </c>
      <c r="B10" s="52" t="s">
        <v>35</v>
      </c>
      <c r="C10" s="53" t="s">
        <v>13</v>
      </c>
      <c r="D10" s="44">
        <v>10</v>
      </c>
      <c r="E10" s="44">
        <v>3</v>
      </c>
      <c r="G10" s="52" t="s">
        <v>36</v>
      </c>
    </row>
    <row r="11" spans="1:7" ht="39.6" x14ac:dyDescent="0.25">
      <c r="A11" s="44">
        <v>7</v>
      </c>
      <c r="B11" s="52" t="s">
        <v>37</v>
      </c>
      <c r="C11" s="53" t="s">
        <v>13</v>
      </c>
      <c r="D11" s="44">
        <v>8</v>
      </c>
      <c r="E11" s="44">
        <v>3</v>
      </c>
      <c r="G11" s="52" t="s">
        <v>38</v>
      </c>
    </row>
    <row r="12" spans="1:7" ht="26.4" x14ac:dyDescent="0.25">
      <c r="A12" s="44">
        <v>8</v>
      </c>
      <c r="B12" s="52" t="s">
        <v>39</v>
      </c>
      <c r="C12" s="53" t="s">
        <v>25</v>
      </c>
      <c r="D12" s="44">
        <v>4</v>
      </c>
      <c r="E12" s="44">
        <v>1</v>
      </c>
      <c r="G12" s="52" t="s">
        <v>40</v>
      </c>
    </row>
    <row r="13" spans="1:7" ht="39.6" x14ac:dyDescent="0.25">
      <c r="A13" s="44">
        <v>9</v>
      </c>
      <c r="B13" s="52" t="s">
        <v>41</v>
      </c>
      <c r="C13" s="53" t="s">
        <v>13</v>
      </c>
      <c r="D13" s="44">
        <v>13</v>
      </c>
      <c r="E13" s="44">
        <v>3</v>
      </c>
      <c r="G13" s="52" t="s">
        <v>42</v>
      </c>
    </row>
    <row r="14" spans="1:7" ht="26.4" x14ac:dyDescent="0.25">
      <c r="A14" s="44">
        <v>10</v>
      </c>
      <c r="B14" s="52" t="s">
        <v>43</v>
      </c>
      <c r="C14" s="53" t="s">
        <v>13</v>
      </c>
      <c r="D14" s="44">
        <v>8</v>
      </c>
      <c r="E14" s="44">
        <v>2</v>
      </c>
      <c r="G14" s="52" t="s">
        <v>44</v>
      </c>
    </row>
    <row r="15" spans="1:7" ht="39.6" x14ac:dyDescent="0.25">
      <c r="A15" s="44">
        <v>11</v>
      </c>
      <c r="B15" s="52" t="s">
        <v>45</v>
      </c>
      <c r="C15" s="44" t="s">
        <v>25</v>
      </c>
      <c r="D15" s="44">
        <v>4</v>
      </c>
      <c r="E15" s="44">
        <v>1</v>
      </c>
      <c r="G15" s="52" t="s">
        <v>46</v>
      </c>
    </row>
    <row r="16" spans="1:7" ht="39.6" x14ac:dyDescent="0.25">
      <c r="A16" s="44">
        <v>12</v>
      </c>
      <c r="B16" s="52" t="s">
        <v>47</v>
      </c>
      <c r="C16" s="44" t="s">
        <v>13</v>
      </c>
      <c r="D16" s="44">
        <v>3</v>
      </c>
      <c r="E16" s="44">
        <v>2</v>
      </c>
      <c r="G16" s="52" t="s">
        <v>48</v>
      </c>
    </row>
    <row r="17" spans="1:7" ht="39.6" x14ac:dyDescent="0.25">
      <c r="A17" s="44">
        <v>13</v>
      </c>
      <c r="B17" s="52" t="s">
        <v>49</v>
      </c>
      <c r="C17" s="44" t="s">
        <v>25</v>
      </c>
      <c r="D17" s="44">
        <v>6</v>
      </c>
      <c r="E17" s="44">
        <v>1</v>
      </c>
      <c r="G17" s="52" t="s">
        <v>50</v>
      </c>
    </row>
    <row r="18" spans="1:7" ht="39.6" x14ac:dyDescent="0.25">
      <c r="A18" s="44">
        <v>14</v>
      </c>
      <c r="B18" s="52" t="s">
        <v>51</v>
      </c>
      <c r="C18" s="44" t="s">
        <v>13</v>
      </c>
      <c r="D18" s="44">
        <v>5</v>
      </c>
      <c r="E18" s="44">
        <v>2</v>
      </c>
      <c r="G18" s="52" t="s">
        <v>52</v>
      </c>
    </row>
    <row r="19" spans="1:7" ht="26.4" x14ac:dyDescent="0.25">
      <c r="A19" s="44">
        <v>15</v>
      </c>
      <c r="B19" s="52" t="s">
        <v>53</v>
      </c>
      <c r="C19" s="44" t="s">
        <v>13</v>
      </c>
      <c r="D19" s="44">
        <v>4</v>
      </c>
      <c r="E19" s="44">
        <v>2</v>
      </c>
      <c r="G19" s="52" t="s">
        <v>54</v>
      </c>
    </row>
    <row r="20" spans="1:7" ht="39.6" x14ac:dyDescent="0.25">
      <c r="A20" s="44">
        <v>16</v>
      </c>
      <c r="B20" s="52" t="s">
        <v>55</v>
      </c>
      <c r="C20" s="44" t="s">
        <v>13</v>
      </c>
      <c r="D20" s="44">
        <v>4</v>
      </c>
      <c r="E20" s="44">
        <v>2</v>
      </c>
      <c r="G20" s="52" t="s">
        <v>56</v>
      </c>
    </row>
    <row r="21" spans="1:7" ht="39.6" x14ac:dyDescent="0.25">
      <c r="A21" s="44">
        <v>17</v>
      </c>
      <c r="B21" s="52" t="s">
        <v>57</v>
      </c>
      <c r="C21" s="44" t="s">
        <v>13</v>
      </c>
      <c r="D21" s="44">
        <v>6</v>
      </c>
      <c r="E21" s="44">
        <v>3</v>
      </c>
      <c r="G21" s="52" t="s">
        <v>58</v>
      </c>
    </row>
    <row r="22" spans="1:7" ht="52.8" x14ac:dyDescent="0.25">
      <c r="A22" s="44">
        <v>18</v>
      </c>
      <c r="B22" s="52" t="s">
        <v>59</v>
      </c>
      <c r="C22" s="44" t="s">
        <v>13</v>
      </c>
      <c r="D22" s="44">
        <v>3</v>
      </c>
      <c r="E22" s="44">
        <v>3</v>
      </c>
      <c r="G22" s="52" t="s">
        <v>60</v>
      </c>
    </row>
  </sheetData>
  <conditionalFormatting sqref="G41:G49 C42:C43 G20:G38 A51:G160 B44:F49 A6:G9 A10:A49 B10:F41 G10:G18 A4:G4">
    <cfRule type="expression" dxfId="25" priority="2">
      <formula>$C4="Done"</formula>
    </cfRule>
    <cfRule type="expression" dxfId="24" priority="3">
      <formula>$C4="Ongoing"</formula>
    </cfRule>
    <cfRule type="expression" dxfId="23" priority="4">
      <formula>$C4="Removed"</formula>
    </cfRule>
  </conditionalFormatting>
  <conditionalFormatting sqref="G50">
    <cfRule type="expression" dxfId="22" priority="5">
      <formula>$C40="Done"</formula>
    </cfRule>
    <cfRule type="expression" dxfId="21" priority="6">
      <formula>$C40="Ongoing"</formula>
    </cfRule>
    <cfRule type="expression" dxfId="20" priority="7">
      <formula>$C40="Removed"</formula>
    </cfRule>
  </conditionalFormatting>
  <conditionalFormatting sqref="G39:G40">
    <cfRule type="expression" dxfId="19" priority="8">
      <formula>#REF!="Done"</formula>
    </cfRule>
    <cfRule type="expression" dxfId="18" priority="9">
      <formula>#REF!="Ongoing"</formula>
    </cfRule>
    <cfRule type="expression" dxfId="17" priority="10">
      <formula>#REF!="Removed"</formula>
    </cfRule>
  </conditionalFormatting>
  <conditionalFormatting sqref="G19">
    <cfRule type="expression" dxfId="16" priority="11">
      <formula>#REF!="Done"</formula>
    </cfRule>
    <cfRule type="expression" dxfId="15" priority="12">
      <formula>#REF!="Ongoing"</formula>
    </cfRule>
    <cfRule type="expression" dxfId="14" priority="13">
      <formula>#REF!="Removed"</formula>
    </cfRule>
  </conditionalFormatting>
  <conditionalFormatting sqref="A5:G5">
    <cfRule type="expression" dxfId="13" priority="14">
      <formula>$C5="Done"</formula>
    </cfRule>
    <cfRule type="expression" dxfId="12" priority="15">
      <formula>$C5="Ongoing"</formula>
    </cfRule>
    <cfRule type="expression" dxfId="11" priority="16">
      <formula>$C5="Removed"</formula>
    </cfRule>
  </conditionalFormatting>
  <dataValidations count="1">
    <dataValidation type="list" allowBlank="1" sqref="C4 C6:C14" xr:uid="{00000000-0002-0000-0100-000000000000}">
      <formula1>"Planned,Ongoing,Done,Removed"</formula1>
      <formula2>0</formula2>
    </dataValidation>
  </dataValidations>
  <pageMargins left="0.75" right="0.75" top="1" bottom="1" header="0.51180555555555496" footer="0.51180555555555496"/>
  <pageSetup paperSize="9" firstPageNumber="0" orientation="landscape" horizontalDpi="300" verticalDpi="3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51"/>
  <sheetViews>
    <sheetView topLeftCell="A9" zoomScaleNormal="100" workbookViewId="0">
      <selection activeCell="R27" sqref="R27"/>
    </sheetView>
  </sheetViews>
  <sheetFormatPr defaultRowHeight="13.2" x14ac:dyDescent="0.25"/>
  <cols>
    <col min="1" max="1" width="11.77734375" customWidth="1"/>
    <col min="2" max="4" width="9" customWidth="1"/>
    <col min="5" max="5" width="14.44140625" customWidth="1"/>
    <col min="6" max="6" width="15.6640625" hidden="1" customWidth="1"/>
    <col min="7" max="8" width="5.44140625" hidden="1" customWidth="1"/>
    <col min="9" max="9" width="7.33203125" hidden="1" customWidth="1"/>
    <col min="10" max="10" width="4.33203125" hidden="1" customWidth="1"/>
    <col min="11" max="13" width="6.77734375" hidden="1" customWidth="1"/>
    <col min="14" max="16" width="9.109375" hidden="1" customWidth="1"/>
    <col min="17" max="17" width="10.44140625" hidden="1" customWidth="1"/>
    <col min="18" max="1025" width="9" customWidth="1"/>
  </cols>
  <sheetData>
    <row r="1" spans="1:26" ht="17.399999999999999" x14ac:dyDescent="0.25">
      <c r="A1" s="47" t="s">
        <v>61</v>
      </c>
    </row>
    <row r="3" spans="1:26" x14ac:dyDescent="0.25">
      <c r="A3" t="s">
        <v>62</v>
      </c>
      <c r="D3">
        <v>102</v>
      </c>
      <c r="F3" t="s">
        <v>63</v>
      </c>
      <c r="G3" s="54">
        <f>IF(COUNT(B28:B39)=0,1,COUNT(B28:B39))</f>
        <v>3</v>
      </c>
    </row>
    <row r="4" spans="1:26" x14ac:dyDescent="0.25">
      <c r="A4" t="s">
        <v>64</v>
      </c>
      <c r="D4">
        <v>3</v>
      </c>
      <c r="E4" t="s">
        <v>65</v>
      </c>
      <c r="F4" t="s">
        <v>66</v>
      </c>
      <c r="G4" s="54">
        <f>IF(COUNT(D28:D51)=0,1,COUNT(D28:D51)+1)</f>
        <v>1</v>
      </c>
    </row>
    <row r="5" spans="1:26" x14ac:dyDescent="0.25">
      <c r="F5" t="s">
        <v>67</v>
      </c>
      <c r="G5" s="54">
        <f>IF(G4&gt;D4,G4-D4,0)</f>
        <v>0</v>
      </c>
      <c r="Z5" s="29" t="s">
        <v>68</v>
      </c>
    </row>
    <row r="6" spans="1:26" x14ac:dyDescent="0.25">
      <c r="A6" s="11" t="s">
        <v>69</v>
      </c>
      <c r="F6" t="s">
        <v>70</v>
      </c>
      <c r="G6" s="54">
        <f>TrendSprintCount-TrendOffset</f>
        <v>1</v>
      </c>
      <c r="Z6" s="29" t="s">
        <v>71</v>
      </c>
    </row>
    <row r="7" spans="1:26" x14ac:dyDescent="0.25">
      <c r="A7" t="s">
        <v>72</v>
      </c>
      <c r="D7">
        <v>30</v>
      </c>
      <c r="Z7" s="29" t="s">
        <v>73</v>
      </c>
    </row>
    <row r="8" spans="1:26" x14ac:dyDescent="0.25">
      <c r="A8" s="3">
        <f>D$4</f>
        <v>3</v>
      </c>
      <c r="B8" s="3"/>
      <c r="D8" s="55" t="str">
        <f ca="1">IF(D28="","",AVERAGE(OFFSET(D27,TrendOffset,0,SprintsInTrend,1)))</f>
        <v/>
      </c>
      <c r="Z8" s="29" t="s">
        <v>74</v>
      </c>
    </row>
    <row r="9" spans="1:26" x14ac:dyDescent="0.25">
      <c r="A9" t="s">
        <v>75</v>
      </c>
      <c r="D9" s="55" t="str">
        <f ca="1">IF(D28="","",AVERAGE(OFFSET(D27,1,0,SprintCount,1)))</f>
        <v/>
      </c>
      <c r="F9" t="s">
        <v>76</v>
      </c>
      <c r="G9" s="54">
        <f ca="1">IF(M28="",1,COUNT(M28:M110))</f>
        <v>1</v>
      </c>
      <c r="Z9" s="29" t="s">
        <v>77</v>
      </c>
    </row>
    <row r="10" spans="1:26" x14ac:dyDescent="0.25">
      <c r="A10" t="s">
        <v>78</v>
      </c>
      <c r="D10" s="55" t="str">
        <f>IF(D28="","",AVERAGE(LastEight))</f>
        <v/>
      </c>
      <c r="Z10" s="29" t="s">
        <v>79</v>
      </c>
    </row>
    <row r="11" spans="1:26" x14ac:dyDescent="0.25">
      <c r="A11" t="s">
        <v>80</v>
      </c>
      <c r="D11" s="55" t="str">
        <f>IF(D28="","",IF(TrendSprintCount&lt;4,D10,AVERAGE(SMALL(LastEight,1),SMALL(LastEight,2),SMALL(LastEight,3))))</f>
        <v/>
      </c>
      <c r="Z11" s="29" t="s">
        <v>81</v>
      </c>
    </row>
    <row r="12" spans="1:26" x14ac:dyDescent="0.25">
      <c r="A12" t="s">
        <v>82</v>
      </c>
      <c r="D12" s="55" t="str">
        <f ca="1">IF(M29="","",M28-M29)</f>
        <v/>
      </c>
      <c r="Z12" s="29" t="s">
        <v>83</v>
      </c>
    </row>
    <row r="13" spans="1:26" x14ac:dyDescent="0.25">
      <c r="F13" s="56" t="s">
        <v>84</v>
      </c>
      <c r="Z13" s="29" t="s">
        <v>85</v>
      </c>
    </row>
    <row r="14" spans="1:26" x14ac:dyDescent="0.25">
      <c r="A14" s="11" t="s">
        <v>86</v>
      </c>
    </row>
    <row r="15" spans="1:26" x14ac:dyDescent="0.25">
      <c r="A15" t="s">
        <v>87</v>
      </c>
      <c r="D15" s="57">
        <f>IF(D7="",0,ROUNDUP(D3/D7*0.6,0))</f>
        <v>3</v>
      </c>
    </row>
    <row r="16" spans="1:26" x14ac:dyDescent="0.25">
      <c r="A16" t="s">
        <v>88</v>
      </c>
      <c r="D16" s="57">
        <f>IF(D7="",0,ROUNDUP(D3/D7,0))</f>
        <v>4</v>
      </c>
    </row>
    <row r="17" spans="1:17" x14ac:dyDescent="0.25">
      <c r="A17" t="s">
        <v>89</v>
      </c>
      <c r="D17" s="57">
        <f>IF(D7="",0,ROUNDUP(D3/D7*1.6,0))</f>
        <v>6</v>
      </c>
      <c r="F17" t="s">
        <v>90</v>
      </c>
      <c r="G17">
        <f>IF(OR(D28="",D29=""),1,STDEV(D28:D51))</f>
        <v>1</v>
      </c>
    </row>
    <row r="18" spans="1:17" x14ac:dyDescent="0.25">
      <c r="A18" s="3">
        <f>D$4</f>
        <v>3</v>
      </c>
      <c r="B18" s="3"/>
      <c r="D18" s="57" t="str">
        <f ca="1">IF(D8="","",IF(LastRealized="",ROUNDUP(LastPlanned/D8,0)+SprintCount-1,ROUNDUP((LastPlanned-LastRealized)/D8+SprintCount,0)))</f>
        <v/>
      </c>
    </row>
    <row r="19" spans="1:17" x14ac:dyDescent="0.25">
      <c r="A19" t="s">
        <v>91</v>
      </c>
      <c r="D19" s="57" t="str">
        <f ca="1">IF(D9="","",IF(LastRealized="",ROUNDUP(LastPlanned/D9+SprintCount-1,0),ROUNDUP((LastPlanned-LastRealized)/D9,0)+SprintCount))</f>
        <v/>
      </c>
      <c r="F19" t="s">
        <v>92</v>
      </c>
      <c r="G19">
        <f ca="1">LastPlanned</f>
        <v>40</v>
      </c>
    </row>
    <row r="20" spans="1:17" x14ac:dyDescent="0.25">
      <c r="A20" t="s">
        <v>78</v>
      </c>
      <c r="D20" s="57" t="str">
        <f>IF(D10="","",IF(LastRealized="",ROUNDUP(LastPlanned/D10+SprintCount-1,0),ROUNDUP((LastPlanned-LastRealized)/D10,0)+SprintCount))</f>
        <v/>
      </c>
      <c r="F20" t="s">
        <v>93</v>
      </c>
      <c r="G20">
        <f ca="1">LastRealized</f>
        <v>1</v>
      </c>
    </row>
    <row r="21" spans="1:17" x14ac:dyDescent="0.25">
      <c r="A21" t="s">
        <v>80</v>
      </c>
      <c r="D21" s="57" t="str">
        <f>IF(D11="","",IF(LastRealized="",ROUNDUP(LastPlanned/D11+SprintCount-1,0),ROUNDUP((LastPlanned-LastRealized)/D11,0)+SprintCount))</f>
        <v/>
      </c>
    </row>
    <row r="22" spans="1:17" x14ac:dyDescent="0.25">
      <c r="A22" t="s">
        <v>82</v>
      </c>
      <c r="D22" s="57" t="str">
        <f ca="1">IF(COUNT(M28:M51)-1&gt;0,COUNT(M28:M51)-1,"")</f>
        <v/>
      </c>
    </row>
    <row r="23" spans="1:17" x14ac:dyDescent="0.25">
      <c r="A23" t="s">
        <v>94</v>
      </c>
      <c r="D23" s="57" t="str">
        <f ca="1">IF(D9="","",IF(LastRealized="",ROUNDUP(LastPlanned/(D9+G17)+SprintCount-1,0),ROUNDUP((LastPlanned-LastRealized)/(D9+G17)+SprintCount,0)))</f>
        <v/>
      </c>
    </row>
    <row r="24" spans="1:17" x14ac:dyDescent="0.25">
      <c r="A24" t="s">
        <v>95</v>
      </c>
      <c r="D24" s="57" t="str">
        <f ca="1">IF(D9="","",IF(LastRealized="",ROUNDUP(LastPlanned/(D9-G17)+SprintCount-1,0),ROUNDUP((LastPlanned-LastRealized)/(D9-G17)+SprintCount,0)))</f>
        <v/>
      </c>
    </row>
    <row r="26" spans="1:17" ht="12.75" customHeight="1" x14ac:dyDescent="0.25">
      <c r="F26" s="2" t="s">
        <v>82</v>
      </c>
      <c r="G26" s="2"/>
      <c r="H26" s="2"/>
      <c r="I26" s="2"/>
      <c r="J26" s="2"/>
      <c r="K26" s="2"/>
      <c r="L26" s="2"/>
      <c r="M26" s="2"/>
      <c r="N26" s="2"/>
      <c r="O26" s="2" t="s">
        <v>96</v>
      </c>
      <c r="P26" s="2"/>
      <c r="Q26" s="2"/>
    </row>
    <row r="27" spans="1:17" s="64" customFormat="1" ht="27" customHeight="1" x14ac:dyDescent="0.25">
      <c r="A27" s="59" t="s">
        <v>11</v>
      </c>
      <c r="B27" s="60" t="s">
        <v>97</v>
      </c>
      <c r="C27" s="60" t="s">
        <v>98</v>
      </c>
      <c r="D27" s="61" t="s">
        <v>99</v>
      </c>
      <c r="E27" s="61" t="s">
        <v>100</v>
      </c>
      <c r="F27" s="58" t="s">
        <v>101</v>
      </c>
      <c r="G27" s="1" t="s">
        <v>102</v>
      </c>
      <c r="H27" s="1"/>
      <c r="I27" s="58" t="s">
        <v>103</v>
      </c>
      <c r="J27" s="62"/>
      <c r="K27" s="58" t="s">
        <v>104</v>
      </c>
      <c r="L27" s="58" t="s">
        <v>105</v>
      </c>
      <c r="M27" s="58" t="s">
        <v>106</v>
      </c>
      <c r="N27" s="63" t="s">
        <v>107</v>
      </c>
      <c r="O27" s="58" t="s">
        <v>108</v>
      </c>
      <c r="P27" s="58" t="s">
        <v>109</v>
      </c>
      <c r="Q27" s="58" t="s">
        <v>110</v>
      </c>
    </row>
    <row r="28" spans="1:17" x14ac:dyDescent="0.25">
      <c r="A28" s="65">
        <v>1</v>
      </c>
      <c r="B28" s="4">
        <v>124</v>
      </c>
      <c r="C28" s="4">
        <v>40</v>
      </c>
      <c r="D28" s="4"/>
      <c r="E28" s="65">
        <f>B28</f>
        <v>124</v>
      </c>
      <c r="F28" s="54">
        <f>B28</f>
        <v>124</v>
      </c>
      <c r="G28" s="54">
        <f t="shared" ref="G28:G51" si="0">F28</f>
        <v>124</v>
      </c>
      <c r="H28" s="54">
        <f t="shared" ref="H28:H51" si="1">I28</f>
        <v>0</v>
      </c>
      <c r="I28" s="54">
        <v>0</v>
      </c>
      <c r="K28">
        <f t="shared" ref="K28:K51" si="2">IF(F28&lt;I28,I28,F28)</f>
        <v>124</v>
      </c>
      <c r="L28" s="54">
        <f t="shared" ref="L28:L51" ca="1" si="3">IF(TREND(OFFSET($K$27,TrendOffset+1,0,SprintsInTrend,1),OFFSET($A$27,TrendOffset+1,0,SprintsInTrend,1),A28)&lt;N28,N28,TREND(OFFSET($K$27,TrendOffset+1,0,SprintsInTrend,1),OFFSET($A$27,TrendOffset+1,0,SprintsInTrend,1),A28))</f>
        <v>124</v>
      </c>
      <c r="M28" s="54">
        <f ca="1">L28</f>
        <v>124</v>
      </c>
      <c r="N28" s="54">
        <f t="shared" ref="N28:N51" ca="1" si="4">OFFSET($I$27,TrendSprintCount,0,1,1)</f>
        <v>0</v>
      </c>
      <c r="O28" s="66" t="str">
        <f t="shared" ref="O28:O51" ca="1" si="5">D$9</f>
        <v/>
      </c>
      <c r="P28" s="66" t="str">
        <f t="shared" ref="P28:P51" si="6">D$10</f>
        <v/>
      </c>
      <c r="Q28" s="66" t="str">
        <f t="shared" ref="Q28:Q51" si="7">D$11</f>
        <v/>
      </c>
    </row>
    <row r="29" spans="1:17" x14ac:dyDescent="0.25">
      <c r="A29" s="65">
        <v>2</v>
      </c>
      <c r="B29" s="4">
        <v>84</v>
      </c>
      <c r="C29" s="4">
        <v>44</v>
      </c>
      <c r="D29" s="4"/>
      <c r="E29" s="65">
        <f>IF(B29="","",IF(D28="",E28,B29+SUM(D$28:D28)))</f>
        <v>124</v>
      </c>
      <c r="F29" s="54">
        <f t="shared" ref="F29:F51" si="8">IF(B29="",IF(B28="","",IF(D28="","",I28)),IF(AND(D28="",C28=""),"",IF(AND(D28="",C28&lt;&gt;""),IF(I28&gt;F28,F28,I28),F28-D28)))</f>
        <v>0</v>
      </c>
      <c r="G29" s="54">
        <f t="shared" si="0"/>
        <v>0</v>
      </c>
      <c r="H29" s="54">
        <f t="shared" si="1"/>
        <v>84</v>
      </c>
      <c r="I29" s="54">
        <f>IF(B29="",IF(B28="","",IF(D28="","",F28-D28)),IF(AND(C28="",D28=""),"",IF(AND(D28="",C28&lt;&gt;""),IF(I28&gt;F28,I28-C28,F28-C28),B$28-B29-SUM(D$28:D28))))</f>
        <v>84</v>
      </c>
      <c r="K29">
        <f t="shared" si="2"/>
        <v>84</v>
      </c>
      <c r="L29" s="54">
        <f t="shared" ca="1" si="3"/>
        <v>124</v>
      </c>
      <c r="M29" s="54" t="str">
        <f t="shared" ref="M29:M51" ca="1" si="9">IF(L29=L28,"",L29)</f>
        <v/>
      </c>
      <c r="N29" s="54">
        <f t="shared" ca="1" si="4"/>
        <v>0</v>
      </c>
      <c r="O29" s="66" t="str">
        <f t="shared" ca="1" si="5"/>
        <v/>
      </c>
      <c r="P29" s="66" t="str">
        <f t="shared" si="6"/>
        <v/>
      </c>
      <c r="Q29" s="66" t="str">
        <f t="shared" si="7"/>
        <v/>
      </c>
    </row>
    <row r="30" spans="1:17" x14ac:dyDescent="0.25">
      <c r="A30" s="65">
        <v>3</v>
      </c>
      <c r="B30" s="4">
        <v>40</v>
      </c>
      <c r="C30" s="4">
        <v>40</v>
      </c>
      <c r="D30" s="4"/>
      <c r="E30" s="65">
        <f>IF(B30="","",IF(D29="",E29,B30+SUM(D$28:D29)))</f>
        <v>124</v>
      </c>
      <c r="F30" s="54">
        <f t="shared" si="8"/>
        <v>0</v>
      </c>
      <c r="G30" s="54">
        <f t="shared" si="0"/>
        <v>0</v>
      </c>
      <c r="H30" s="54">
        <f t="shared" si="1"/>
        <v>40</v>
      </c>
      <c r="I30" s="54">
        <f>IF(B30="",IF(B29="","",IF(D29="","",F29-D29)),IF(AND(C29="",D29=""),"",IF(AND(D29="",C29&lt;&gt;""),IF(I29&gt;F29,I29-C29,F29-C29),B$28-B30-SUM(D$28:D29))))</f>
        <v>40</v>
      </c>
      <c r="K30">
        <f t="shared" si="2"/>
        <v>40</v>
      </c>
      <c r="L30" s="54">
        <f t="shared" ca="1" si="3"/>
        <v>124</v>
      </c>
      <c r="M30" s="54" t="str">
        <f t="shared" ca="1" si="9"/>
        <v/>
      </c>
      <c r="N30" s="54">
        <f t="shared" ca="1" si="4"/>
        <v>0</v>
      </c>
      <c r="O30" s="66" t="str">
        <f t="shared" ca="1" si="5"/>
        <v/>
      </c>
      <c r="P30" s="66" t="str">
        <f t="shared" si="6"/>
        <v/>
      </c>
      <c r="Q30" s="66" t="str">
        <f t="shared" si="7"/>
        <v/>
      </c>
    </row>
    <row r="31" spans="1:17" x14ac:dyDescent="0.25">
      <c r="A31" s="65">
        <v>4</v>
      </c>
      <c r="B31" s="4"/>
      <c r="C31" s="4"/>
      <c r="D31" s="4"/>
      <c r="E31" s="65" t="str">
        <f>IF(B31="","",IF(D30="",E30,B31+SUM(D$28:D30)))</f>
        <v/>
      </c>
      <c r="F31" s="54" t="str">
        <f t="shared" si="8"/>
        <v/>
      </c>
      <c r="G31" s="54" t="str">
        <f t="shared" si="0"/>
        <v/>
      </c>
      <c r="H31" s="54" t="str">
        <f t="shared" si="1"/>
        <v/>
      </c>
      <c r="I31" s="54" t="str">
        <f>IF(B31="",IF(B30="","",IF(D30="","",F30-D30)),IF(AND(C30="",D30=""),"",IF(AND(D30="",C30&lt;&gt;""),IF(I30&gt;F30,I30-C30,F30-C30),B$28-B31-SUM(D$28:D30))))</f>
        <v/>
      </c>
      <c r="K31" t="str">
        <f t="shared" si="2"/>
        <v/>
      </c>
      <c r="L31" s="54">
        <f t="shared" ca="1" si="3"/>
        <v>124</v>
      </c>
      <c r="M31" s="54" t="str">
        <f t="shared" ca="1" si="9"/>
        <v/>
      </c>
      <c r="N31" s="54">
        <f t="shared" ca="1" si="4"/>
        <v>0</v>
      </c>
      <c r="O31" s="66" t="str">
        <f t="shared" ca="1" si="5"/>
        <v/>
      </c>
      <c r="P31" s="66" t="str">
        <f t="shared" si="6"/>
        <v/>
      </c>
      <c r="Q31" s="66" t="str">
        <f t="shared" si="7"/>
        <v/>
      </c>
    </row>
    <row r="32" spans="1:17" x14ac:dyDescent="0.25">
      <c r="A32" s="65">
        <v>5</v>
      </c>
      <c r="B32" s="4"/>
      <c r="C32" s="4"/>
      <c r="D32" s="4"/>
      <c r="E32" s="65"/>
      <c r="F32" s="54" t="str">
        <f t="shared" si="8"/>
        <v/>
      </c>
      <c r="G32" s="54" t="str">
        <f t="shared" si="0"/>
        <v/>
      </c>
      <c r="H32" s="54" t="str">
        <f t="shared" si="1"/>
        <v/>
      </c>
      <c r="I32" s="54" t="str">
        <f>IF(B32="",IF(B31="","",IF(D31="","",F31-D31)),IF(AND(C31="",D31=""),"",IF(AND(D31="",C31&lt;&gt;""),IF(I31&gt;F31,I31-C31,F31-C31),B$28-B32-SUM(D$28:D31))))</f>
        <v/>
      </c>
      <c r="K32" t="str">
        <f t="shared" si="2"/>
        <v/>
      </c>
      <c r="L32" s="54">
        <f t="shared" ca="1" si="3"/>
        <v>124</v>
      </c>
      <c r="M32" s="54" t="str">
        <f t="shared" ca="1" si="9"/>
        <v/>
      </c>
      <c r="N32" s="54">
        <f t="shared" ca="1" si="4"/>
        <v>0</v>
      </c>
      <c r="O32" s="66" t="str">
        <f t="shared" ca="1" si="5"/>
        <v/>
      </c>
      <c r="P32" s="66" t="str">
        <f t="shared" si="6"/>
        <v/>
      </c>
      <c r="Q32" s="66" t="str">
        <f t="shared" si="7"/>
        <v/>
      </c>
    </row>
    <row r="33" spans="1:17" x14ac:dyDescent="0.25">
      <c r="A33" s="65">
        <v>6</v>
      </c>
      <c r="B33" s="4" t="str">
        <f t="shared" ref="B33:B51" si="10">IF(OR(B32="",C32=""),"",IF(D32="",IF(B32-C32&lt;=0,"",B32-C32),IF(B32-D32&lt;=0,"",B32-D32)))</f>
        <v/>
      </c>
      <c r="C33" s="4"/>
      <c r="D33" s="4"/>
      <c r="E33" s="65" t="str">
        <f>IF(B33="","",IF(D32="",E32,B33+SUM(D$28:D32)))</f>
        <v/>
      </c>
      <c r="F33" s="54" t="str">
        <f t="shared" si="8"/>
        <v/>
      </c>
      <c r="G33" s="54" t="str">
        <f t="shared" si="0"/>
        <v/>
      </c>
      <c r="H33" s="54" t="str">
        <f t="shared" si="1"/>
        <v/>
      </c>
      <c r="I33" s="54" t="str">
        <f>IF(B33="",IF(B32="","",IF(D32="","",F32-D32)),IF(AND(C32="",D32=""),"",IF(AND(D32="",C32&lt;&gt;""),IF(I32&gt;F32,I32-C32,F32-C32),B$28-B33-SUM(D$28:D32))))</f>
        <v/>
      </c>
      <c r="K33" t="str">
        <f t="shared" si="2"/>
        <v/>
      </c>
      <c r="L33" s="54">
        <f t="shared" ca="1" si="3"/>
        <v>124</v>
      </c>
      <c r="M33" s="54" t="str">
        <f t="shared" ca="1" si="9"/>
        <v/>
      </c>
      <c r="N33" s="54">
        <f t="shared" ca="1" si="4"/>
        <v>0</v>
      </c>
      <c r="O33" s="66" t="str">
        <f t="shared" ca="1" si="5"/>
        <v/>
      </c>
      <c r="P33" s="66" t="str">
        <f t="shared" si="6"/>
        <v/>
      </c>
      <c r="Q33" s="66" t="str">
        <f t="shared" si="7"/>
        <v/>
      </c>
    </row>
    <row r="34" spans="1:17" x14ac:dyDescent="0.25">
      <c r="A34" s="65">
        <v>7</v>
      </c>
      <c r="B34" s="4" t="str">
        <f t="shared" si="10"/>
        <v/>
      </c>
      <c r="C34" s="4"/>
      <c r="D34" s="4"/>
      <c r="E34" s="65" t="str">
        <f>IF(B34="","",IF(D33="",E33,B34+SUM(D$28:D33)))</f>
        <v/>
      </c>
      <c r="F34" s="54" t="str">
        <f t="shared" si="8"/>
        <v/>
      </c>
      <c r="G34" s="54" t="str">
        <f t="shared" si="0"/>
        <v/>
      </c>
      <c r="H34" s="54" t="str">
        <f t="shared" si="1"/>
        <v/>
      </c>
      <c r="I34" s="54" t="str">
        <f>IF(B34="",IF(B33="","",IF(D33="","",F33-D33)),IF(AND(C33="",D33=""),"",IF(AND(D33="",C33&lt;&gt;""),IF(I33&gt;F33,I33-C33,F33-C33),B$28-B34-SUM(D$28:D33))))</f>
        <v/>
      </c>
      <c r="K34" t="str">
        <f t="shared" si="2"/>
        <v/>
      </c>
      <c r="L34" s="54">
        <f t="shared" ca="1" si="3"/>
        <v>124</v>
      </c>
      <c r="M34" s="54" t="str">
        <f t="shared" ca="1" si="9"/>
        <v/>
      </c>
      <c r="N34" s="54">
        <f t="shared" ca="1" si="4"/>
        <v>0</v>
      </c>
      <c r="O34" s="66" t="str">
        <f t="shared" ca="1" si="5"/>
        <v/>
      </c>
      <c r="P34" s="66" t="str">
        <f t="shared" si="6"/>
        <v/>
      </c>
      <c r="Q34" s="66" t="str">
        <f t="shared" si="7"/>
        <v/>
      </c>
    </row>
    <row r="35" spans="1:17" x14ac:dyDescent="0.25">
      <c r="A35" s="65">
        <v>8</v>
      </c>
      <c r="B35" s="4" t="str">
        <f t="shared" si="10"/>
        <v/>
      </c>
      <c r="C35" s="4"/>
      <c r="D35" s="4"/>
      <c r="E35" s="65" t="str">
        <f>IF(B35="","",IF(D34="",E34,B35+SUM(D$28:D34)))</f>
        <v/>
      </c>
      <c r="F35" s="54" t="str">
        <f t="shared" si="8"/>
        <v/>
      </c>
      <c r="G35" s="54" t="str">
        <f t="shared" si="0"/>
        <v/>
      </c>
      <c r="H35" s="54" t="str">
        <f t="shared" si="1"/>
        <v/>
      </c>
      <c r="I35" s="54" t="str">
        <f>IF(B35="",IF(B34="","",IF(D34="","",F34-D34)),IF(AND(C34="",D34=""),"",IF(AND(D34="",C34&lt;&gt;""),IF(I34&gt;F34,I34-C34,F34-C34),B$28-B35-SUM(D$28:D34))))</f>
        <v/>
      </c>
      <c r="K35" t="str">
        <f t="shared" si="2"/>
        <v/>
      </c>
      <c r="L35" s="54">
        <f t="shared" ca="1" si="3"/>
        <v>124</v>
      </c>
      <c r="M35" s="54" t="str">
        <f t="shared" ca="1" si="9"/>
        <v/>
      </c>
      <c r="N35" s="54">
        <f t="shared" ca="1" si="4"/>
        <v>0</v>
      </c>
      <c r="O35" s="66" t="str">
        <f t="shared" ca="1" si="5"/>
        <v/>
      </c>
      <c r="P35" s="66" t="str">
        <f t="shared" si="6"/>
        <v/>
      </c>
      <c r="Q35" s="66" t="str">
        <f t="shared" si="7"/>
        <v/>
      </c>
    </row>
    <row r="36" spans="1:17" x14ac:dyDescent="0.25">
      <c r="A36" s="65">
        <v>9</v>
      </c>
      <c r="B36" s="4" t="str">
        <f t="shared" si="10"/>
        <v/>
      </c>
      <c r="C36" s="4"/>
      <c r="D36" s="4"/>
      <c r="E36" s="65" t="str">
        <f>IF(B36="","",IF(D35="",E35,B36+SUM(D$28:D35)))</f>
        <v/>
      </c>
      <c r="F36" s="54" t="str">
        <f t="shared" si="8"/>
        <v/>
      </c>
      <c r="G36" s="54" t="str">
        <f t="shared" si="0"/>
        <v/>
      </c>
      <c r="H36" s="54" t="str">
        <f t="shared" si="1"/>
        <v/>
      </c>
      <c r="I36" s="54" t="str">
        <f>IF(B36="",IF(B35="","",IF(D35="","",F35-D35)),IF(AND(C35="",D35=""),"",IF(AND(D35="",C35&lt;&gt;""),IF(I35&gt;F35,I35-C35,F35-C35),B$28-B36-SUM(D$28:D35))))</f>
        <v/>
      </c>
      <c r="K36" t="str">
        <f t="shared" si="2"/>
        <v/>
      </c>
      <c r="L36" s="54">
        <f t="shared" ca="1" si="3"/>
        <v>124</v>
      </c>
      <c r="M36" s="54" t="str">
        <f t="shared" ca="1" si="9"/>
        <v/>
      </c>
      <c r="N36" s="54">
        <f t="shared" ca="1" si="4"/>
        <v>0</v>
      </c>
      <c r="O36" s="66" t="str">
        <f t="shared" ca="1" si="5"/>
        <v/>
      </c>
      <c r="P36" s="66" t="str">
        <f t="shared" si="6"/>
        <v/>
      </c>
      <c r="Q36" s="66" t="str">
        <f t="shared" si="7"/>
        <v/>
      </c>
    </row>
    <row r="37" spans="1:17" x14ac:dyDescent="0.25">
      <c r="A37" s="65">
        <v>10</v>
      </c>
      <c r="B37" s="4" t="str">
        <f t="shared" si="10"/>
        <v/>
      </c>
      <c r="C37" s="4"/>
      <c r="D37" s="4"/>
      <c r="E37" s="65" t="str">
        <f>IF(B37="","",IF(D36="",E36,B37+SUM(D$28:D36)))</f>
        <v/>
      </c>
      <c r="F37" s="54" t="str">
        <f t="shared" si="8"/>
        <v/>
      </c>
      <c r="G37" s="54" t="str">
        <f t="shared" si="0"/>
        <v/>
      </c>
      <c r="H37" s="54" t="str">
        <f t="shared" si="1"/>
        <v/>
      </c>
      <c r="I37" s="54" t="str">
        <f>IF(B37="",IF(B36="","",IF(D36="","",F36-D36)),IF(AND(C36="",D36=""),"",IF(AND(D36="",C36&lt;&gt;""),IF(I36&gt;F36,I36-C36,F36-C36),B$28-B37-SUM(D$28:D36))))</f>
        <v/>
      </c>
      <c r="K37" t="str">
        <f t="shared" si="2"/>
        <v/>
      </c>
      <c r="L37" s="54">
        <f t="shared" ca="1" si="3"/>
        <v>124</v>
      </c>
      <c r="M37" s="54" t="str">
        <f t="shared" ca="1" si="9"/>
        <v/>
      </c>
      <c r="N37" s="54">
        <f t="shared" ca="1" si="4"/>
        <v>0</v>
      </c>
      <c r="O37" s="66" t="str">
        <f t="shared" ca="1" si="5"/>
        <v/>
      </c>
      <c r="P37" s="66" t="str">
        <f t="shared" si="6"/>
        <v/>
      </c>
      <c r="Q37" s="66" t="str">
        <f t="shared" si="7"/>
        <v/>
      </c>
    </row>
    <row r="38" spans="1:17" x14ac:dyDescent="0.25">
      <c r="A38" s="65">
        <v>11</v>
      </c>
      <c r="B38" s="4" t="str">
        <f t="shared" si="10"/>
        <v/>
      </c>
      <c r="C38" s="4"/>
      <c r="D38" s="4"/>
      <c r="E38" s="65" t="str">
        <f>IF(B38="","",IF(D37="",E37,B38+SUM(D$28:D37)))</f>
        <v/>
      </c>
      <c r="F38" s="54" t="str">
        <f t="shared" si="8"/>
        <v/>
      </c>
      <c r="G38" s="54" t="str">
        <f t="shared" si="0"/>
        <v/>
      </c>
      <c r="H38" s="54" t="str">
        <f t="shared" si="1"/>
        <v/>
      </c>
      <c r="I38" s="54" t="str">
        <f>IF(B38="",IF(B37="","",IF(D37="","",F37-D37)),IF(AND(C37="",D37=""),"",IF(AND(D37="",C37&lt;&gt;""),IF(I37&gt;F37,I37-C37,F37-C37),B$28-B38-SUM(D$28:D37))))</f>
        <v/>
      </c>
      <c r="K38" t="str">
        <f t="shared" si="2"/>
        <v/>
      </c>
      <c r="L38" s="54">
        <f t="shared" ca="1" si="3"/>
        <v>124</v>
      </c>
      <c r="M38" s="54" t="str">
        <f t="shared" ca="1" si="9"/>
        <v/>
      </c>
      <c r="N38" s="54">
        <f t="shared" ca="1" si="4"/>
        <v>0</v>
      </c>
      <c r="O38" s="66" t="str">
        <f t="shared" ca="1" si="5"/>
        <v/>
      </c>
      <c r="P38" s="66" t="str">
        <f t="shared" si="6"/>
        <v/>
      </c>
      <c r="Q38" s="66" t="str">
        <f t="shared" si="7"/>
        <v/>
      </c>
    </row>
    <row r="39" spans="1:17" x14ac:dyDescent="0.25">
      <c r="A39" s="65">
        <v>12</v>
      </c>
      <c r="B39" s="4" t="str">
        <f t="shared" si="10"/>
        <v/>
      </c>
      <c r="C39" s="4"/>
      <c r="D39" s="4"/>
      <c r="E39" s="65" t="str">
        <f>IF(B39="","",IF(D38="",E38,B39+SUM(D$28:D38)))</f>
        <v/>
      </c>
      <c r="F39" s="54" t="str">
        <f t="shared" si="8"/>
        <v/>
      </c>
      <c r="G39" s="54" t="str">
        <f t="shared" si="0"/>
        <v/>
      </c>
      <c r="H39" s="54" t="str">
        <f t="shared" si="1"/>
        <v/>
      </c>
      <c r="I39" s="54" t="str">
        <f>IF(B39="",IF(B38="","",IF(D38="","",F38-D38)),IF(AND(C38="",D38=""),"",IF(AND(D38="",C38&lt;&gt;""),IF(I38&gt;F38,I38-C38,F38-C38),B$28-B39-SUM(D$28:D38))))</f>
        <v/>
      </c>
      <c r="K39" t="str">
        <f t="shared" si="2"/>
        <v/>
      </c>
      <c r="L39" s="54">
        <f t="shared" ca="1" si="3"/>
        <v>124</v>
      </c>
      <c r="M39" s="54" t="str">
        <f t="shared" ca="1" si="9"/>
        <v/>
      </c>
      <c r="N39" s="54">
        <f t="shared" ca="1" si="4"/>
        <v>0</v>
      </c>
      <c r="O39" s="66" t="str">
        <f t="shared" ca="1" si="5"/>
        <v/>
      </c>
      <c r="P39" s="66" t="str">
        <f t="shared" si="6"/>
        <v/>
      </c>
      <c r="Q39" s="66" t="str">
        <f t="shared" si="7"/>
        <v/>
      </c>
    </row>
    <row r="40" spans="1:17" x14ac:dyDescent="0.25">
      <c r="A40" s="65">
        <v>13</v>
      </c>
      <c r="B40" s="4" t="str">
        <f t="shared" si="10"/>
        <v/>
      </c>
      <c r="C40" s="4"/>
      <c r="E40" s="65" t="str">
        <f>IF(B40="","",IF(D39="",E39,B40+SUM(D$28:D39)))</f>
        <v/>
      </c>
      <c r="F40" s="54" t="str">
        <f t="shared" si="8"/>
        <v/>
      </c>
      <c r="G40" s="54" t="str">
        <f t="shared" si="0"/>
        <v/>
      </c>
      <c r="H40" s="54" t="str">
        <f t="shared" si="1"/>
        <v/>
      </c>
      <c r="I40" s="54" t="str">
        <f>IF(B40="",IF(B39="","",IF(D39="","",F39-D39)),IF(AND(C39="",D39=""),"",IF(AND(D39="",C39&lt;&gt;""),IF(I39&gt;F39,I39-C39,F39-C39),B$28-B40-SUM(D$28:D39))))</f>
        <v/>
      </c>
      <c r="K40" t="str">
        <f t="shared" si="2"/>
        <v/>
      </c>
      <c r="L40" s="54">
        <f t="shared" ca="1" si="3"/>
        <v>124</v>
      </c>
      <c r="M40" s="54" t="str">
        <f t="shared" ca="1" si="9"/>
        <v/>
      </c>
      <c r="N40" s="54">
        <f t="shared" ca="1" si="4"/>
        <v>0</v>
      </c>
      <c r="O40" s="66" t="str">
        <f t="shared" ca="1" si="5"/>
        <v/>
      </c>
      <c r="P40" s="66" t="str">
        <f t="shared" si="6"/>
        <v/>
      </c>
      <c r="Q40" s="66" t="str">
        <f t="shared" si="7"/>
        <v/>
      </c>
    </row>
    <row r="41" spans="1:17" x14ac:dyDescent="0.25">
      <c r="A41" s="65">
        <v>14</v>
      </c>
      <c r="B41" s="4" t="str">
        <f t="shared" si="10"/>
        <v/>
      </c>
      <c r="C41" s="4"/>
      <c r="E41" s="65" t="str">
        <f>IF(B41="","",IF(D40="",E40,B41+SUM(D$28:D40)))</f>
        <v/>
      </c>
      <c r="F41" s="54" t="str">
        <f t="shared" si="8"/>
        <v/>
      </c>
      <c r="G41" s="54" t="str">
        <f t="shared" si="0"/>
        <v/>
      </c>
      <c r="H41" s="54" t="str">
        <f t="shared" si="1"/>
        <v/>
      </c>
      <c r="I41" s="54" t="str">
        <f>IF(B41="",IF(B40="","",IF(D40="","",F40-D40)),IF(AND(C40="",D40=""),"",IF(AND(D40="",C40&lt;&gt;""),IF(I40&gt;F40,I40-C40,F40-C40),B$28-B41-SUM(D$28:D40))))</f>
        <v/>
      </c>
      <c r="K41" t="str">
        <f t="shared" si="2"/>
        <v/>
      </c>
      <c r="L41" s="54">
        <f t="shared" ca="1" si="3"/>
        <v>124</v>
      </c>
      <c r="M41" s="54" t="str">
        <f t="shared" ca="1" si="9"/>
        <v/>
      </c>
      <c r="N41" s="54">
        <f t="shared" ca="1" si="4"/>
        <v>0</v>
      </c>
      <c r="O41" s="66" t="str">
        <f t="shared" ca="1" si="5"/>
        <v/>
      </c>
      <c r="P41" s="66" t="str">
        <f t="shared" si="6"/>
        <v/>
      </c>
      <c r="Q41" s="66" t="str">
        <f t="shared" si="7"/>
        <v/>
      </c>
    </row>
    <row r="42" spans="1:17" x14ac:dyDescent="0.25">
      <c r="A42" s="65">
        <v>15</v>
      </c>
      <c r="B42" s="4" t="str">
        <f t="shared" si="10"/>
        <v/>
      </c>
      <c r="C42" s="4"/>
      <c r="E42" s="65" t="str">
        <f>IF(B42="","",IF(D41="",E41,B42+SUM(D$28:D41)))</f>
        <v/>
      </c>
      <c r="F42" s="54" t="str">
        <f t="shared" si="8"/>
        <v/>
      </c>
      <c r="G42" s="54" t="str">
        <f t="shared" si="0"/>
        <v/>
      </c>
      <c r="H42" s="54" t="str">
        <f t="shared" si="1"/>
        <v/>
      </c>
      <c r="I42" s="54" t="str">
        <f>IF(B42="",IF(B41="","",IF(D41="","",F41-D41)),IF(AND(C41="",D41=""),"",IF(AND(D41="",C41&lt;&gt;""),IF(I41&gt;F41,I41-C41,F41-C41),B$28-B42-SUM(D$28:D41))))</f>
        <v/>
      </c>
      <c r="K42" t="str">
        <f t="shared" si="2"/>
        <v/>
      </c>
      <c r="L42" s="54">
        <f t="shared" ca="1" si="3"/>
        <v>124</v>
      </c>
      <c r="M42" s="54" t="str">
        <f t="shared" ca="1" si="9"/>
        <v/>
      </c>
      <c r="N42" s="54">
        <f t="shared" ca="1" si="4"/>
        <v>0</v>
      </c>
      <c r="O42" s="66" t="str">
        <f t="shared" ca="1" si="5"/>
        <v/>
      </c>
      <c r="P42" s="66" t="str">
        <f t="shared" si="6"/>
        <v/>
      </c>
      <c r="Q42" s="66" t="str">
        <f t="shared" si="7"/>
        <v/>
      </c>
    </row>
    <row r="43" spans="1:17" x14ac:dyDescent="0.25">
      <c r="A43" s="65">
        <v>16</v>
      </c>
      <c r="B43" s="4" t="str">
        <f t="shared" si="10"/>
        <v/>
      </c>
      <c r="C43" s="4"/>
      <c r="E43" s="65" t="str">
        <f>IF(B43="","",IF(D42="",E42,B43+SUM(D$28:D42)))</f>
        <v/>
      </c>
      <c r="F43" s="54" t="str">
        <f t="shared" si="8"/>
        <v/>
      </c>
      <c r="G43" s="54" t="str">
        <f t="shared" si="0"/>
        <v/>
      </c>
      <c r="H43" s="54" t="str">
        <f t="shared" si="1"/>
        <v/>
      </c>
      <c r="I43" s="54" t="str">
        <f>IF(B43="",IF(B42="","",IF(D42="","",F42-D42)),IF(AND(C42="",D42=""),"",IF(AND(D42="",C42&lt;&gt;""),IF(I42&gt;F42,I42-C42,F42-C42),B$28-B43-SUM(D$28:D42))))</f>
        <v/>
      </c>
      <c r="K43" t="str">
        <f t="shared" si="2"/>
        <v/>
      </c>
      <c r="L43" s="54">
        <f t="shared" ca="1" si="3"/>
        <v>124</v>
      </c>
      <c r="M43" s="54" t="str">
        <f t="shared" ca="1" si="9"/>
        <v/>
      </c>
      <c r="N43" s="54">
        <f t="shared" ca="1" si="4"/>
        <v>0</v>
      </c>
      <c r="O43" s="66" t="str">
        <f t="shared" ca="1" si="5"/>
        <v/>
      </c>
      <c r="P43" s="66" t="str">
        <f t="shared" si="6"/>
        <v/>
      </c>
      <c r="Q43" s="66" t="str">
        <f t="shared" si="7"/>
        <v/>
      </c>
    </row>
    <row r="44" spans="1:17" x14ac:dyDescent="0.25">
      <c r="A44" s="65">
        <v>17</v>
      </c>
      <c r="B44" s="4" t="str">
        <f t="shared" si="10"/>
        <v/>
      </c>
      <c r="C44" s="4"/>
      <c r="E44" s="65" t="str">
        <f>IF(B44="","",IF(D43="",E43,B44+SUM(D$28:D43)))</f>
        <v/>
      </c>
      <c r="F44" s="54" t="str">
        <f t="shared" si="8"/>
        <v/>
      </c>
      <c r="G44" s="54" t="str">
        <f t="shared" si="0"/>
        <v/>
      </c>
      <c r="H44" s="54" t="str">
        <f t="shared" si="1"/>
        <v/>
      </c>
      <c r="I44" s="54" t="str">
        <f>IF(B44="",IF(B43="","",IF(D43="","",F43-D43)),IF(AND(C43="",D43=""),"",IF(AND(D43="",C43&lt;&gt;""),IF(I43&gt;F43,I43-C43,F43-C43),B$28-B44-SUM(D$28:D43))))</f>
        <v/>
      </c>
      <c r="K44" t="str">
        <f t="shared" si="2"/>
        <v/>
      </c>
      <c r="L44" s="54">
        <f t="shared" ca="1" si="3"/>
        <v>124</v>
      </c>
      <c r="M44" s="54" t="str">
        <f t="shared" ca="1" si="9"/>
        <v/>
      </c>
      <c r="N44" s="54">
        <f t="shared" ca="1" si="4"/>
        <v>0</v>
      </c>
      <c r="O44" s="66" t="str">
        <f t="shared" ca="1" si="5"/>
        <v/>
      </c>
      <c r="P44" s="66" t="str">
        <f t="shared" si="6"/>
        <v/>
      </c>
      <c r="Q44" s="66" t="str">
        <f t="shared" si="7"/>
        <v/>
      </c>
    </row>
    <row r="45" spans="1:17" x14ac:dyDescent="0.25">
      <c r="A45" s="65">
        <v>18</v>
      </c>
      <c r="B45" s="4" t="str">
        <f t="shared" si="10"/>
        <v/>
      </c>
      <c r="C45" s="4"/>
      <c r="E45" s="65" t="str">
        <f>IF(B45="","",IF(D44="",E44,B45+SUM(D$28:D44)))</f>
        <v/>
      </c>
      <c r="F45" s="54" t="str">
        <f t="shared" si="8"/>
        <v/>
      </c>
      <c r="G45" s="54" t="str">
        <f t="shared" si="0"/>
        <v/>
      </c>
      <c r="H45" s="54" t="str">
        <f t="shared" si="1"/>
        <v/>
      </c>
      <c r="I45" s="54" t="str">
        <f>IF(B45="",IF(B44="","",IF(D44="","",F44-D44)),IF(AND(C44="",D44=""),"",IF(AND(D44="",C44&lt;&gt;""),IF(I44&gt;F44,I44-C44,F44-C44),B$28-B45-SUM(D$28:D44))))</f>
        <v/>
      </c>
      <c r="K45" t="str">
        <f t="shared" si="2"/>
        <v/>
      </c>
      <c r="L45" s="54">
        <f t="shared" ca="1" si="3"/>
        <v>124</v>
      </c>
      <c r="M45" s="54" t="str">
        <f t="shared" ca="1" si="9"/>
        <v/>
      </c>
      <c r="N45" s="54">
        <f t="shared" ca="1" si="4"/>
        <v>0</v>
      </c>
      <c r="O45" s="66" t="str">
        <f t="shared" ca="1" si="5"/>
        <v/>
      </c>
      <c r="P45" s="66" t="str">
        <f t="shared" si="6"/>
        <v/>
      </c>
      <c r="Q45" s="66" t="str">
        <f t="shared" si="7"/>
        <v/>
      </c>
    </row>
    <row r="46" spans="1:17" x14ac:dyDescent="0.25">
      <c r="A46" s="65">
        <v>19</v>
      </c>
      <c r="B46" s="4" t="str">
        <f t="shared" si="10"/>
        <v/>
      </c>
      <c r="C46" s="4"/>
      <c r="E46" s="65" t="str">
        <f>IF(B46="","",IF(D45="",E45,B46+SUM(D$28:D45)))</f>
        <v/>
      </c>
      <c r="F46" s="54" t="str">
        <f t="shared" si="8"/>
        <v/>
      </c>
      <c r="G46" s="54" t="str">
        <f t="shared" si="0"/>
        <v/>
      </c>
      <c r="H46" s="54" t="str">
        <f t="shared" si="1"/>
        <v/>
      </c>
      <c r="I46" s="54" t="str">
        <f>IF(B46="",IF(B45="","",IF(D45="","",F45-D45)),IF(AND(C45="",D45=""),"",IF(AND(D45="",C45&lt;&gt;""),IF(I45&gt;F45,I45-C45,F45-C45),B$28-B46-SUM(D$28:D45))))</f>
        <v/>
      </c>
      <c r="K46" t="str">
        <f t="shared" si="2"/>
        <v/>
      </c>
      <c r="L46" s="54">
        <f t="shared" ca="1" si="3"/>
        <v>124</v>
      </c>
      <c r="M46" s="54" t="str">
        <f t="shared" ca="1" si="9"/>
        <v/>
      </c>
      <c r="N46" s="54">
        <f t="shared" ca="1" si="4"/>
        <v>0</v>
      </c>
      <c r="O46" s="66" t="str">
        <f t="shared" ca="1" si="5"/>
        <v/>
      </c>
      <c r="P46" s="66" t="str">
        <f t="shared" si="6"/>
        <v/>
      </c>
      <c r="Q46" s="66" t="str">
        <f t="shared" si="7"/>
        <v/>
      </c>
    </row>
    <row r="47" spans="1:17" x14ac:dyDescent="0.25">
      <c r="A47" s="65">
        <v>20</v>
      </c>
      <c r="B47" s="4" t="str">
        <f t="shared" si="10"/>
        <v/>
      </c>
      <c r="C47" s="4"/>
      <c r="E47" s="65" t="str">
        <f>IF(B47="","",IF(D46="",E46,B47+SUM(D$28:D46)))</f>
        <v/>
      </c>
      <c r="F47" s="54" t="str">
        <f t="shared" si="8"/>
        <v/>
      </c>
      <c r="G47" s="54" t="str">
        <f t="shared" si="0"/>
        <v/>
      </c>
      <c r="H47" s="54" t="str">
        <f t="shared" si="1"/>
        <v/>
      </c>
      <c r="I47" s="54" t="str">
        <f>IF(B47="",IF(B46="","",IF(D46="","",F46-D46)),IF(AND(C46="",D46=""),"",IF(AND(D46="",C46&lt;&gt;""),IF(I46&gt;F46,I46-C46,F46-C46),B$28-B47-SUM(D$28:D46))))</f>
        <v/>
      </c>
      <c r="K47" t="str">
        <f t="shared" si="2"/>
        <v/>
      </c>
      <c r="L47" s="54">
        <f t="shared" ca="1" si="3"/>
        <v>124</v>
      </c>
      <c r="M47" s="54" t="str">
        <f t="shared" ca="1" si="9"/>
        <v/>
      </c>
      <c r="N47" s="54">
        <f t="shared" ca="1" si="4"/>
        <v>0</v>
      </c>
      <c r="O47" s="66" t="str">
        <f t="shared" ca="1" si="5"/>
        <v/>
      </c>
      <c r="P47" s="66" t="str">
        <f t="shared" si="6"/>
        <v/>
      </c>
      <c r="Q47" s="66" t="str">
        <f t="shared" si="7"/>
        <v/>
      </c>
    </row>
    <row r="48" spans="1:17" x14ac:dyDescent="0.25">
      <c r="A48" s="65">
        <v>21</v>
      </c>
      <c r="B48" s="4" t="str">
        <f t="shared" si="10"/>
        <v/>
      </c>
      <c r="C48" s="4"/>
      <c r="E48" s="65" t="str">
        <f>IF(B48="","",IF(D47="",E47,B48+SUM(D$28:D47)))</f>
        <v/>
      </c>
      <c r="F48" s="54" t="str">
        <f t="shared" si="8"/>
        <v/>
      </c>
      <c r="G48" s="54" t="str">
        <f t="shared" si="0"/>
        <v/>
      </c>
      <c r="H48" s="54" t="str">
        <f t="shared" si="1"/>
        <v/>
      </c>
      <c r="I48" s="54" t="str">
        <f>IF(B48="",IF(B47="","",IF(D47="","",F47-D47)),IF(AND(C47="",D47=""),"",IF(AND(D47="",C47&lt;&gt;""),IF(I47&gt;F47,I47-C47,F47-C47),B$28-B48-SUM(D$28:D47))))</f>
        <v/>
      </c>
      <c r="K48" t="str">
        <f t="shared" si="2"/>
        <v/>
      </c>
      <c r="L48" s="54">
        <f t="shared" ca="1" si="3"/>
        <v>124</v>
      </c>
      <c r="M48" s="54" t="str">
        <f t="shared" ca="1" si="9"/>
        <v/>
      </c>
      <c r="N48" s="54">
        <f t="shared" ca="1" si="4"/>
        <v>0</v>
      </c>
      <c r="O48" s="66" t="str">
        <f t="shared" ca="1" si="5"/>
        <v/>
      </c>
      <c r="P48" s="66" t="str">
        <f t="shared" si="6"/>
        <v/>
      </c>
      <c r="Q48" s="66" t="str">
        <f t="shared" si="7"/>
        <v/>
      </c>
    </row>
    <row r="49" spans="1:17" x14ac:dyDescent="0.25">
      <c r="A49" s="65">
        <v>22</v>
      </c>
      <c r="B49" s="4" t="str">
        <f t="shared" si="10"/>
        <v/>
      </c>
      <c r="C49" s="4"/>
      <c r="E49" s="65" t="str">
        <f>IF(B49="","",IF(D48="",E48,B49+SUM(D$28:D48)))</f>
        <v/>
      </c>
      <c r="F49" s="54" t="str">
        <f t="shared" si="8"/>
        <v/>
      </c>
      <c r="G49" s="54" t="str">
        <f t="shared" si="0"/>
        <v/>
      </c>
      <c r="H49" s="54" t="str">
        <f t="shared" si="1"/>
        <v/>
      </c>
      <c r="I49" s="54" t="str">
        <f>IF(B49="",IF(B48="","",IF(D48="","",F48-D48)),IF(AND(C48="",D48=""),"",IF(AND(D48="",C48&lt;&gt;""),IF(I48&gt;F48,I48-C48,F48-C48),B$28-B49-SUM(D$28:D48))))</f>
        <v/>
      </c>
      <c r="K49" t="str">
        <f t="shared" si="2"/>
        <v/>
      </c>
      <c r="L49" s="54">
        <f t="shared" ca="1" si="3"/>
        <v>124</v>
      </c>
      <c r="M49" s="54" t="str">
        <f t="shared" ca="1" si="9"/>
        <v/>
      </c>
      <c r="N49" s="54">
        <f t="shared" ca="1" si="4"/>
        <v>0</v>
      </c>
      <c r="O49" s="66" t="str">
        <f t="shared" ca="1" si="5"/>
        <v/>
      </c>
      <c r="P49" s="66" t="str">
        <f t="shared" si="6"/>
        <v/>
      </c>
      <c r="Q49" s="66" t="str">
        <f t="shared" si="7"/>
        <v/>
      </c>
    </row>
    <row r="50" spans="1:17" x14ac:dyDescent="0.25">
      <c r="A50" s="65">
        <v>23</v>
      </c>
      <c r="B50" s="4" t="str">
        <f t="shared" si="10"/>
        <v/>
      </c>
      <c r="C50" s="4"/>
      <c r="E50" s="65" t="str">
        <f>IF(B50="","",IF(D49="",E49,B50+SUM(D$28:D49)))</f>
        <v/>
      </c>
      <c r="F50" s="54" t="str">
        <f t="shared" si="8"/>
        <v/>
      </c>
      <c r="G50" s="54" t="str">
        <f t="shared" si="0"/>
        <v/>
      </c>
      <c r="H50" s="54" t="str">
        <f t="shared" si="1"/>
        <v/>
      </c>
      <c r="I50" s="54" t="str">
        <f>IF(B50="",IF(B49="","",IF(D49="","",F49-D49)),IF(AND(C49="",D49=""),"",IF(AND(D49="",C49&lt;&gt;""),IF(I49&gt;F49,I49-C49,F49-C49),B$28-B50-SUM(D$28:D49))))</f>
        <v/>
      </c>
      <c r="K50" t="str">
        <f t="shared" si="2"/>
        <v/>
      </c>
      <c r="L50" s="54">
        <f t="shared" ca="1" si="3"/>
        <v>124</v>
      </c>
      <c r="M50" s="54" t="str">
        <f t="shared" ca="1" si="9"/>
        <v/>
      </c>
      <c r="N50" s="54">
        <f t="shared" ca="1" si="4"/>
        <v>0</v>
      </c>
      <c r="O50" s="66" t="str">
        <f t="shared" ca="1" si="5"/>
        <v/>
      </c>
      <c r="P50" s="66" t="str">
        <f t="shared" si="6"/>
        <v/>
      </c>
      <c r="Q50" s="66" t="str">
        <f t="shared" si="7"/>
        <v/>
      </c>
    </row>
    <row r="51" spans="1:17" x14ac:dyDescent="0.25">
      <c r="A51" s="65">
        <v>24</v>
      </c>
      <c r="B51" s="4" t="str">
        <f t="shared" si="10"/>
        <v/>
      </c>
      <c r="C51" s="4"/>
      <c r="E51" s="65" t="str">
        <f>IF(B51="","",IF(D50="",E50,B51+SUM(D$28:D50)))</f>
        <v/>
      </c>
      <c r="F51" s="54" t="str">
        <f t="shared" si="8"/>
        <v/>
      </c>
      <c r="G51" s="54" t="str">
        <f t="shared" si="0"/>
        <v/>
      </c>
      <c r="H51" s="54" t="str">
        <f t="shared" si="1"/>
        <v/>
      </c>
      <c r="I51" s="54" t="str">
        <f>IF(B51="",IF(B50="","",IF(D50="","",F50-D50)),IF(AND(C50="",D50=""),"",IF(AND(D50="",C50&lt;&gt;""),IF(I50&gt;F50,I50-C50,F50-C50),B$28-B51-SUM(D$28:D50))))</f>
        <v/>
      </c>
      <c r="K51" t="str">
        <f t="shared" si="2"/>
        <v/>
      </c>
      <c r="L51" s="54">
        <f t="shared" ca="1" si="3"/>
        <v>124</v>
      </c>
      <c r="M51" s="54" t="str">
        <f t="shared" ca="1" si="9"/>
        <v/>
      </c>
      <c r="N51" s="54">
        <f t="shared" ca="1" si="4"/>
        <v>0</v>
      </c>
      <c r="O51" s="66" t="str">
        <f t="shared" ca="1" si="5"/>
        <v/>
      </c>
      <c r="P51" s="66" t="str">
        <f t="shared" si="6"/>
        <v/>
      </c>
      <c r="Q51" s="66" t="str">
        <f t="shared" si="7"/>
        <v/>
      </c>
    </row>
  </sheetData>
  <mergeCells count="5">
    <mergeCell ref="A8:B8"/>
    <mergeCell ref="A18:B18"/>
    <mergeCell ref="F26:N26"/>
    <mergeCell ref="O26:Q26"/>
    <mergeCell ref="G27:H27"/>
  </mergeCells>
  <conditionalFormatting sqref="K27:N27 A27:G27 F26 I27 O26:O27 P27:Q27">
    <cfRule type="expression" dxfId="10" priority="2">
      <formula>$D26="Done"</formula>
    </cfRule>
    <cfRule type="expression" dxfId="9" priority="3">
      <formula>$D26="Ongoing"</formula>
    </cfRule>
    <cfRule type="expression" dxfId="8" priority="4">
      <formula>$D26="Removed"</formula>
    </cfRule>
  </conditionalFormatting>
  <pageMargins left="0.75" right="0.75" top="1" bottom="1" header="0.51180555555555496" footer="0.51180555555555496"/>
  <pageSetup paperSize="9" firstPageNumber="0"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K64"/>
  <sheetViews>
    <sheetView tabSelected="1" zoomScaleNormal="100" workbookViewId="0">
      <pane ySplit="14" topLeftCell="A15" activePane="bottomLeft" state="frozen"/>
      <selection pane="bottomLeft" activeCell="C18" sqref="C18"/>
    </sheetView>
  </sheetViews>
  <sheetFormatPr defaultRowHeight="13.2" x14ac:dyDescent="0.25"/>
  <cols>
    <col min="1" max="1" width="43.44140625" style="46" customWidth="1"/>
    <col min="2" max="2" width="8.44140625" style="44" customWidth="1"/>
    <col min="3" max="3" width="15.33203125" style="46" customWidth="1"/>
    <col min="4" max="4" width="10.77734375" style="46" customWidth="1"/>
    <col min="5" max="5" width="6.44140625" style="44" customWidth="1"/>
    <col min="6" max="30" width="4.44140625" style="44" customWidth="1"/>
    <col min="31" max="1025" width="9.109375" style="46" customWidth="1"/>
  </cols>
  <sheetData>
    <row r="1" spans="1:30" s="46" customFormat="1" ht="17.399999999999999" x14ac:dyDescent="0.25">
      <c r="A1" s="67">
        <v>1</v>
      </c>
      <c r="B1" s="68"/>
    </row>
    <row r="2" spans="1:30" s="46" customFormat="1" x14ac:dyDescent="0.25">
      <c r="B2" s="44"/>
    </row>
    <row r="9" spans="1:30" x14ac:dyDescent="0.25">
      <c r="A9" s="69" t="s">
        <v>111</v>
      </c>
      <c r="B9" s="44">
        <v>14</v>
      </c>
      <c r="C9" s="69"/>
      <c r="D9" s="70"/>
      <c r="E9" s="69" t="s">
        <v>112</v>
      </c>
      <c r="F9" s="69" t="s">
        <v>113</v>
      </c>
      <c r="G9" s="69"/>
      <c r="H9" s="69"/>
      <c r="I9" s="69"/>
      <c r="J9" s="69"/>
      <c r="K9" s="69"/>
      <c r="L9" s="69"/>
      <c r="M9" s="70"/>
      <c r="N9" s="70"/>
      <c r="O9" s="70"/>
      <c r="P9" s="70"/>
      <c r="Q9" s="70"/>
      <c r="R9" s="70"/>
      <c r="S9" s="70"/>
      <c r="T9" s="70"/>
      <c r="U9" s="70"/>
      <c r="V9" s="70"/>
      <c r="W9" s="70"/>
      <c r="X9" s="70"/>
      <c r="Y9" s="70"/>
      <c r="Z9" s="70"/>
      <c r="AA9" s="70"/>
      <c r="AB9" s="70"/>
      <c r="AC9" s="70"/>
      <c r="AD9" s="70"/>
    </row>
    <row r="10" spans="1:30" x14ac:dyDescent="0.25">
      <c r="A10" s="69" t="s">
        <v>114</v>
      </c>
      <c r="B10" s="44">
        <v>14</v>
      </c>
      <c r="C10" s="69" t="s">
        <v>3</v>
      </c>
      <c r="D10" s="69" t="s">
        <v>115</v>
      </c>
      <c r="E10" s="71">
        <f ca="1">SUM(OFFSET(E14,1,0,TaskRows,1))</f>
        <v>40</v>
      </c>
      <c r="F10" s="71">
        <f ca="1">IF(AND(SUM(OFFSET(F14,1,0,TaskRows,1))=0),0,SUM(OFFSET(F14,1,0,TaskRows,1)))</f>
        <v>37</v>
      </c>
      <c r="G10" s="71">
        <f t="shared" ref="G10:AD10" ca="1" si="0">IF(AND(SUM(OFFSET(G14,1,0,TaskRows,1))=0),"",SUM(OFFSET(G14,1,0,TaskRows,1)))</f>
        <v>34</v>
      </c>
      <c r="H10" s="71">
        <f t="shared" ca="1" si="0"/>
        <v>31</v>
      </c>
      <c r="I10" s="71">
        <f t="shared" ca="1" si="0"/>
        <v>26</v>
      </c>
      <c r="J10" s="71">
        <f t="shared" ca="1" si="0"/>
        <v>25</v>
      </c>
      <c r="K10" s="71">
        <f t="shared" ca="1" si="0"/>
        <v>23</v>
      </c>
      <c r="L10" s="71">
        <f t="shared" ca="1" si="0"/>
        <v>20</v>
      </c>
      <c r="M10" s="71">
        <f t="shared" ca="1" si="0"/>
        <v>17</v>
      </c>
      <c r="N10" s="71">
        <f t="shared" ca="1" si="0"/>
        <v>14</v>
      </c>
      <c r="O10" s="71">
        <f t="shared" ca="1" si="0"/>
        <v>12</v>
      </c>
      <c r="P10" s="71">
        <f t="shared" ca="1" si="0"/>
        <v>11</v>
      </c>
      <c r="Q10" s="71">
        <f t="shared" ca="1" si="0"/>
        <v>7</v>
      </c>
      <c r="R10" s="71">
        <f t="shared" ca="1" si="0"/>
        <v>5</v>
      </c>
      <c r="S10" s="71" t="str">
        <f t="shared" ca="1" si="0"/>
        <v/>
      </c>
      <c r="T10" s="71" t="str">
        <f t="shared" ca="1" si="0"/>
        <v/>
      </c>
      <c r="U10" s="71" t="str">
        <f t="shared" ca="1" si="0"/>
        <v/>
      </c>
      <c r="V10" s="71" t="str">
        <f t="shared" ca="1" si="0"/>
        <v/>
      </c>
      <c r="W10" s="71" t="str">
        <f t="shared" ca="1" si="0"/>
        <v/>
      </c>
      <c r="X10" s="71" t="str">
        <f t="shared" ca="1" si="0"/>
        <v/>
      </c>
      <c r="Y10" s="71" t="str">
        <f t="shared" ca="1" si="0"/>
        <v/>
      </c>
      <c r="Z10" s="71" t="str">
        <f t="shared" ca="1" si="0"/>
        <v/>
      </c>
      <c r="AA10" s="71" t="str">
        <f t="shared" ca="1" si="0"/>
        <v/>
      </c>
      <c r="AB10" s="71" t="str">
        <f t="shared" ca="1" si="0"/>
        <v/>
      </c>
      <c r="AC10" s="71" t="str">
        <f t="shared" ca="1" si="0"/>
        <v/>
      </c>
      <c r="AD10" s="71" t="str">
        <f t="shared" ca="1" si="0"/>
        <v/>
      </c>
    </row>
    <row r="11" spans="1:30" hidden="1" x14ac:dyDescent="0.25">
      <c r="A11" s="46" t="s">
        <v>116</v>
      </c>
      <c r="B11" s="4">
        <f>IF(COUNTA(A15:A242)=0,1,COUNTA(A15:A242))</f>
        <v>6</v>
      </c>
      <c r="C11" s="46" t="s">
        <v>117</v>
      </c>
      <c r="D11" s="4">
        <f ca="1">IF(COUNTIF(F10:AD10,"&gt;0")=0,1,COUNTIF(F10:AD10,"&gt;0"))</f>
        <v>13</v>
      </c>
      <c r="E11" s="4"/>
      <c r="F11" s="4">
        <f ca="1">IF(F14="","",$E10-$E10/($B9-1)*(F14-1))</f>
        <v>40</v>
      </c>
      <c r="G11" s="4">
        <f t="shared" ref="G11:AD11" ca="1" si="1">IF(G14="","",TotalEffort-TotalEffort/(ImplementationDays)*(G14-1))</f>
        <v>37.142857142857146</v>
      </c>
      <c r="H11" s="4">
        <f t="shared" ca="1" si="1"/>
        <v>34.285714285714285</v>
      </c>
      <c r="I11" s="4">
        <f t="shared" ca="1" si="1"/>
        <v>31.428571428571431</v>
      </c>
      <c r="J11" s="4">
        <f t="shared" ca="1" si="1"/>
        <v>28.571428571428569</v>
      </c>
      <c r="K11" s="4">
        <f t="shared" ca="1" si="1"/>
        <v>25.714285714285715</v>
      </c>
      <c r="L11" s="4">
        <f t="shared" ca="1" si="1"/>
        <v>22.857142857142858</v>
      </c>
      <c r="M11" s="4">
        <f t="shared" ca="1" si="1"/>
        <v>20</v>
      </c>
      <c r="N11" s="4">
        <f t="shared" ca="1" si="1"/>
        <v>17.142857142857142</v>
      </c>
      <c r="O11" s="4">
        <f t="shared" ca="1" si="1"/>
        <v>14.285714285714285</v>
      </c>
      <c r="P11" s="4">
        <f t="shared" ca="1" si="1"/>
        <v>11.428571428571427</v>
      </c>
      <c r="Q11" s="4">
        <f t="shared" ca="1" si="1"/>
        <v>8.5714285714285694</v>
      </c>
      <c r="R11" s="4">
        <f t="shared" ca="1" si="1"/>
        <v>5.7142857142857153</v>
      </c>
      <c r="S11" s="4">
        <f t="shared" ca="1" si="1"/>
        <v>2.8571428571428541</v>
      </c>
      <c r="T11" s="4" t="str">
        <f t="shared" si="1"/>
        <v/>
      </c>
      <c r="U11" s="4" t="str">
        <f t="shared" si="1"/>
        <v/>
      </c>
      <c r="V11" s="4" t="str">
        <f t="shared" si="1"/>
        <v/>
      </c>
      <c r="W11" s="4" t="str">
        <f t="shared" si="1"/>
        <v/>
      </c>
      <c r="X11" s="4" t="str">
        <f t="shared" si="1"/>
        <v/>
      </c>
      <c r="Y11" s="4" t="str">
        <f t="shared" si="1"/>
        <v/>
      </c>
      <c r="Z11" s="4" t="str">
        <f t="shared" si="1"/>
        <v/>
      </c>
      <c r="AA11" s="4" t="str">
        <f t="shared" si="1"/>
        <v/>
      </c>
      <c r="AB11" s="4" t="str">
        <f t="shared" si="1"/>
        <v/>
      </c>
      <c r="AC11" s="4" t="str">
        <f t="shared" si="1"/>
        <v/>
      </c>
      <c r="AD11" s="4" t="str">
        <f t="shared" si="1"/>
        <v/>
      </c>
    </row>
    <row r="12" spans="1:30" hidden="1" x14ac:dyDescent="0.25">
      <c r="A12" s="56" t="s">
        <v>118</v>
      </c>
      <c r="C12" s="46" t="s">
        <v>82</v>
      </c>
      <c r="D12" s="4"/>
      <c r="E12" s="4"/>
      <c r="F12" s="4">
        <f t="shared" ref="F12:AD12" ca="1" si="2">IF(TREND(OFFSET($F10,0,DoneDays-TrendDays,1,TrendDays),OFFSET($F13,0,DoneDays-TrendDays,1,TrendDays),F13)&lt;0,"",TREND(OFFSET($F10,0,DoneDays-TrendDays,1,TrendDays),OFFSET($F13,0,DoneDays-TrendDays,1,TrendDays),F13))</f>
        <v>35.879120879120876</v>
      </c>
      <c r="G12" s="4">
        <f t="shared" ca="1" si="2"/>
        <v>33.258241758241759</v>
      </c>
      <c r="H12" s="4">
        <f t="shared" ca="1" si="2"/>
        <v>30.637362637362635</v>
      </c>
      <c r="I12" s="4">
        <f t="shared" ca="1" si="2"/>
        <v>28.016483516483515</v>
      </c>
      <c r="J12" s="4">
        <f t="shared" ca="1" si="2"/>
        <v>25.395604395604394</v>
      </c>
      <c r="K12" s="4">
        <f t="shared" ca="1" si="2"/>
        <v>22.77472527472527</v>
      </c>
      <c r="L12" s="4">
        <f t="shared" ca="1" si="2"/>
        <v>20.15384615384615</v>
      </c>
      <c r="M12" s="4">
        <f t="shared" ca="1" si="2"/>
        <v>17.532967032967029</v>
      </c>
      <c r="N12" s="4">
        <f t="shared" ca="1" si="2"/>
        <v>14.912087912087909</v>
      </c>
      <c r="O12" s="4">
        <f t="shared" ca="1" si="2"/>
        <v>12.291208791208788</v>
      </c>
      <c r="P12" s="4">
        <f t="shared" ca="1" si="2"/>
        <v>9.6703296703296644</v>
      </c>
      <c r="Q12" s="4">
        <f t="shared" ca="1" si="2"/>
        <v>7.0494505494505439</v>
      </c>
      <c r="R12" s="4">
        <f t="shared" ca="1" si="2"/>
        <v>4.4285714285714235</v>
      </c>
      <c r="S12" s="4">
        <f t="shared" ca="1" si="2"/>
        <v>1.8076923076922995</v>
      </c>
      <c r="T12" s="4" t="str">
        <f t="shared" ca="1" si="2"/>
        <v/>
      </c>
      <c r="U12" s="4" t="str">
        <f t="shared" ca="1" si="2"/>
        <v/>
      </c>
      <c r="V12" s="4" t="str">
        <f t="shared" ca="1" si="2"/>
        <v/>
      </c>
      <c r="W12" s="4" t="str">
        <f t="shared" ca="1" si="2"/>
        <v/>
      </c>
      <c r="X12" s="4" t="str">
        <f t="shared" ca="1" si="2"/>
        <v/>
      </c>
      <c r="Y12" s="4" t="str">
        <f t="shared" ca="1" si="2"/>
        <v/>
      </c>
      <c r="Z12" s="4" t="str">
        <f t="shared" ca="1" si="2"/>
        <v/>
      </c>
      <c r="AA12" s="4" t="str">
        <f t="shared" ca="1" si="2"/>
        <v/>
      </c>
      <c r="AB12" s="4" t="str">
        <f t="shared" ca="1" si="2"/>
        <v/>
      </c>
      <c r="AC12" s="4" t="str">
        <f t="shared" ca="1" si="2"/>
        <v/>
      </c>
      <c r="AD12" s="4" t="str">
        <f t="shared" ca="1" si="2"/>
        <v/>
      </c>
    </row>
    <row r="13" spans="1:30" hidden="1" x14ac:dyDescent="0.25">
      <c r="A13" s="56" t="s">
        <v>119</v>
      </c>
      <c r="C13" s="46" t="s">
        <v>120</v>
      </c>
      <c r="D13" s="4">
        <f ca="1">IF(DoneDays&gt;B10,B10,DoneDays)</f>
        <v>13</v>
      </c>
      <c r="E13" s="4"/>
      <c r="F13" s="4">
        <f ca="1">IF(DoneDays&gt;E13,E13+1,"")</f>
        <v>1</v>
      </c>
      <c r="G13" s="4">
        <v>2</v>
      </c>
      <c r="H13" s="4">
        <v>3</v>
      </c>
      <c r="I13" s="4">
        <v>4</v>
      </c>
      <c r="J13" s="4">
        <v>5</v>
      </c>
      <c r="K13" s="4">
        <v>6</v>
      </c>
      <c r="L13" s="4">
        <v>7</v>
      </c>
      <c r="M13" s="4">
        <v>8</v>
      </c>
      <c r="N13" s="4">
        <v>9</v>
      </c>
      <c r="O13" s="4">
        <v>10</v>
      </c>
      <c r="P13" s="4">
        <v>11</v>
      </c>
      <c r="Q13" s="4">
        <v>12</v>
      </c>
      <c r="R13" s="4">
        <v>13</v>
      </c>
      <c r="S13" s="4">
        <v>14</v>
      </c>
      <c r="T13" s="4">
        <v>15</v>
      </c>
      <c r="U13" s="4">
        <v>16</v>
      </c>
      <c r="V13" s="4">
        <v>17</v>
      </c>
      <c r="W13" s="4">
        <v>18</v>
      </c>
      <c r="X13" s="4">
        <v>19</v>
      </c>
      <c r="Y13" s="4">
        <v>20</v>
      </c>
      <c r="Z13" s="4">
        <v>21</v>
      </c>
      <c r="AA13" s="4">
        <v>22</v>
      </c>
      <c r="AB13" s="4">
        <v>23</v>
      </c>
      <c r="AC13" s="4">
        <v>24</v>
      </c>
      <c r="AD13" s="4">
        <v>25</v>
      </c>
    </row>
    <row r="14" spans="1:30" x14ac:dyDescent="0.25">
      <c r="A14" s="69" t="s">
        <v>121</v>
      </c>
      <c r="B14" s="72" t="s">
        <v>20</v>
      </c>
      <c r="C14" s="69" t="s">
        <v>122</v>
      </c>
      <c r="D14" s="69" t="s">
        <v>6</v>
      </c>
      <c r="E14" s="72" t="s">
        <v>123</v>
      </c>
      <c r="F14" s="72">
        <v>1</v>
      </c>
      <c r="G14" s="72">
        <f t="shared" ref="G14:AD14" si="3">IF($B$9&gt;F14,F14+1,"")</f>
        <v>2</v>
      </c>
      <c r="H14" s="72">
        <f t="shared" si="3"/>
        <v>3</v>
      </c>
      <c r="I14" s="72">
        <f t="shared" si="3"/>
        <v>4</v>
      </c>
      <c r="J14" s="72">
        <f t="shared" si="3"/>
        <v>5</v>
      </c>
      <c r="K14" s="72">
        <f t="shared" si="3"/>
        <v>6</v>
      </c>
      <c r="L14" s="72">
        <f t="shared" si="3"/>
        <v>7</v>
      </c>
      <c r="M14" s="72">
        <f t="shared" si="3"/>
        <v>8</v>
      </c>
      <c r="N14" s="72">
        <f t="shared" si="3"/>
        <v>9</v>
      </c>
      <c r="O14" s="72">
        <f t="shared" si="3"/>
        <v>10</v>
      </c>
      <c r="P14" s="72">
        <f t="shared" si="3"/>
        <v>11</v>
      </c>
      <c r="Q14" s="72">
        <f t="shared" si="3"/>
        <v>12</v>
      </c>
      <c r="R14" s="72">
        <f t="shared" si="3"/>
        <v>13</v>
      </c>
      <c r="S14" s="72">
        <f t="shared" si="3"/>
        <v>14</v>
      </c>
      <c r="T14" s="72" t="str">
        <f t="shared" si="3"/>
        <v/>
      </c>
      <c r="U14" s="72" t="str">
        <f t="shared" si="3"/>
        <v/>
      </c>
      <c r="V14" s="72" t="str">
        <f t="shared" si="3"/>
        <v/>
      </c>
      <c r="W14" s="72" t="str">
        <f t="shared" si="3"/>
        <v/>
      </c>
      <c r="X14" s="72" t="str">
        <f t="shared" si="3"/>
        <v/>
      </c>
      <c r="Y14" s="72" t="str">
        <f t="shared" si="3"/>
        <v/>
      </c>
      <c r="Z14" s="72" t="str">
        <f t="shared" si="3"/>
        <v/>
      </c>
      <c r="AA14" s="72" t="str">
        <f t="shared" si="3"/>
        <v/>
      </c>
      <c r="AB14" s="72" t="str">
        <f t="shared" si="3"/>
        <v/>
      </c>
      <c r="AC14" s="72" t="str">
        <f t="shared" si="3"/>
        <v/>
      </c>
      <c r="AD14" s="72" t="str">
        <f t="shared" si="3"/>
        <v/>
      </c>
    </row>
    <row r="15" spans="1:30" x14ac:dyDescent="0.25">
      <c r="A15" s="73" t="s">
        <v>124</v>
      </c>
      <c r="B15" s="4">
        <v>1</v>
      </c>
      <c r="C15" s="73" t="s">
        <v>151</v>
      </c>
      <c r="D15" s="73" t="s">
        <v>25</v>
      </c>
      <c r="E15" s="4">
        <v>4</v>
      </c>
      <c r="F15" s="4">
        <f>IF(OR(F$14="",$E15=""),"",E15)</f>
        <v>4</v>
      </c>
      <c r="G15" s="4">
        <v>4</v>
      </c>
      <c r="H15" s="4">
        <v>2</v>
      </c>
      <c r="I15" s="4">
        <v>2</v>
      </c>
      <c r="J15" s="44">
        <v>2</v>
      </c>
      <c r="K15" s="44">
        <v>1</v>
      </c>
      <c r="L15" s="44">
        <v>1</v>
      </c>
      <c r="M15" s="44">
        <v>1</v>
      </c>
      <c r="N15" s="44">
        <v>1</v>
      </c>
      <c r="O15" s="44">
        <v>0</v>
      </c>
      <c r="P15" s="44">
        <v>0</v>
      </c>
      <c r="Q15" s="44">
        <v>0</v>
      </c>
      <c r="R15" s="44">
        <v>0</v>
      </c>
      <c r="S15" s="44">
        <v>0</v>
      </c>
    </row>
    <row r="16" spans="1:30" x14ac:dyDescent="0.25">
      <c r="A16" s="73" t="s">
        <v>29</v>
      </c>
      <c r="B16" s="4">
        <v>3</v>
      </c>
      <c r="C16" s="73" t="s">
        <v>126</v>
      </c>
      <c r="D16" s="73" t="s">
        <v>25</v>
      </c>
      <c r="E16" s="4">
        <v>18</v>
      </c>
      <c r="F16" s="4">
        <v>17</v>
      </c>
      <c r="G16" s="4">
        <v>15</v>
      </c>
      <c r="H16" s="4">
        <v>15</v>
      </c>
      <c r="I16" s="4">
        <v>13</v>
      </c>
      <c r="J16" s="44">
        <v>12</v>
      </c>
      <c r="K16" s="44">
        <v>12</v>
      </c>
      <c r="L16" s="44">
        <v>10</v>
      </c>
      <c r="M16" s="44">
        <v>8</v>
      </c>
      <c r="N16" s="44">
        <v>5</v>
      </c>
      <c r="O16" s="44">
        <v>5</v>
      </c>
      <c r="P16" s="44">
        <v>5</v>
      </c>
      <c r="Q16" s="44">
        <v>2</v>
      </c>
      <c r="R16" s="44">
        <v>2</v>
      </c>
      <c r="S16" s="44">
        <v>0</v>
      </c>
    </row>
    <row r="17" spans="1:30" x14ac:dyDescent="0.25">
      <c r="A17" s="73" t="s">
        <v>127</v>
      </c>
      <c r="B17" s="4">
        <v>4</v>
      </c>
      <c r="C17" s="73" t="s">
        <v>150</v>
      </c>
      <c r="D17" s="73" t="s">
        <v>25</v>
      </c>
      <c r="E17" s="4">
        <v>4</v>
      </c>
      <c r="F17" s="4">
        <f>IF(OR(F$14="",$E17=""),"",E17)</f>
        <v>4</v>
      </c>
      <c r="G17" s="4">
        <v>4</v>
      </c>
      <c r="H17" s="4">
        <v>4</v>
      </c>
      <c r="I17" s="4">
        <v>3</v>
      </c>
      <c r="J17" s="44">
        <v>3</v>
      </c>
      <c r="K17" s="44">
        <v>3</v>
      </c>
      <c r="L17" s="44">
        <v>3</v>
      </c>
      <c r="M17" s="44">
        <v>2</v>
      </c>
      <c r="N17" s="44">
        <v>2</v>
      </c>
      <c r="O17" s="44">
        <v>2</v>
      </c>
      <c r="P17" s="44">
        <v>2</v>
      </c>
      <c r="Q17" s="44">
        <v>2</v>
      </c>
      <c r="R17" s="44">
        <v>1</v>
      </c>
      <c r="S17" s="44">
        <v>0</v>
      </c>
      <c r="AC17" s="44" t="str">
        <f>IF(OR(AC$14="",$E17=""),"",AB17)</f>
        <v/>
      </c>
      <c r="AD17" s="44" t="str">
        <f>IF(OR(AD$14="",$E17=""),"",AC17)</f>
        <v/>
      </c>
    </row>
    <row r="18" spans="1:30" x14ac:dyDescent="0.25">
      <c r="A18" s="73" t="s">
        <v>129</v>
      </c>
      <c r="B18" s="4">
        <v>8</v>
      </c>
      <c r="C18" s="73" t="s">
        <v>130</v>
      </c>
      <c r="D18" s="73" t="s">
        <v>25</v>
      </c>
      <c r="E18" s="4">
        <v>4</v>
      </c>
      <c r="F18" s="4">
        <f>IF(OR(F$14="",$E18=""),"",E18)</f>
        <v>4</v>
      </c>
      <c r="G18" s="4">
        <v>4</v>
      </c>
      <c r="H18" s="4">
        <v>4</v>
      </c>
      <c r="I18" s="4">
        <v>2</v>
      </c>
      <c r="J18" s="44">
        <v>2</v>
      </c>
      <c r="K18" s="44">
        <v>2</v>
      </c>
      <c r="L18" s="44">
        <v>2</v>
      </c>
      <c r="M18" s="44">
        <v>2</v>
      </c>
      <c r="N18" s="44">
        <v>2</v>
      </c>
      <c r="O18" s="44">
        <v>2</v>
      </c>
      <c r="P18" s="44">
        <v>1</v>
      </c>
      <c r="Q18" s="44">
        <v>1</v>
      </c>
      <c r="R18" s="44">
        <v>0</v>
      </c>
      <c r="S18" s="44">
        <v>0</v>
      </c>
    </row>
    <row r="19" spans="1:30" x14ac:dyDescent="0.25">
      <c r="A19" s="52" t="s">
        <v>131</v>
      </c>
      <c r="B19" s="44">
        <v>11</v>
      </c>
      <c r="C19" s="73" t="s">
        <v>150</v>
      </c>
      <c r="D19" s="74" t="s">
        <v>25</v>
      </c>
      <c r="E19" s="44">
        <v>4</v>
      </c>
      <c r="F19" s="44">
        <f>IF(OR(F$14="",$E19=""),"",E19)</f>
        <v>4</v>
      </c>
      <c r="G19" s="44">
        <v>4</v>
      </c>
      <c r="H19" s="44">
        <v>3</v>
      </c>
      <c r="I19" s="44">
        <v>3</v>
      </c>
      <c r="J19" s="44">
        <v>3</v>
      </c>
      <c r="K19" s="44">
        <v>2</v>
      </c>
      <c r="L19" s="44">
        <v>2</v>
      </c>
      <c r="M19" s="44">
        <v>2</v>
      </c>
      <c r="N19" s="44">
        <v>2</v>
      </c>
      <c r="O19" s="44">
        <v>1</v>
      </c>
      <c r="P19" s="44">
        <v>1</v>
      </c>
      <c r="Q19" s="44">
        <v>1</v>
      </c>
      <c r="R19" s="44">
        <v>1</v>
      </c>
      <c r="S19" s="44">
        <v>0</v>
      </c>
      <c r="AC19" s="44" t="str">
        <f t="shared" ref="AC19:AD24" si="4">IF(OR(AC$14="",$E19=""),"",AB19)</f>
        <v/>
      </c>
      <c r="AD19" s="44" t="str">
        <f t="shared" si="4"/>
        <v/>
      </c>
    </row>
    <row r="20" spans="1:30" x14ac:dyDescent="0.25">
      <c r="A20" s="52" t="s">
        <v>132</v>
      </c>
      <c r="B20" s="44">
        <v>13</v>
      </c>
      <c r="C20" s="73" t="s">
        <v>135</v>
      </c>
      <c r="D20" s="74" t="s">
        <v>25</v>
      </c>
      <c r="E20" s="44">
        <v>6</v>
      </c>
      <c r="F20" s="44">
        <v>4</v>
      </c>
      <c r="G20" s="44">
        <v>3</v>
      </c>
      <c r="H20" s="44">
        <v>3</v>
      </c>
      <c r="I20" s="44">
        <v>3</v>
      </c>
      <c r="J20" s="44">
        <v>3</v>
      </c>
      <c r="K20" s="44">
        <v>3</v>
      </c>
      <c r="L20" s="44">
        <v>2</v>
      </c>
      <c r="M20" s="44">
        <v>2</v>
      </c>
      <c r="N20" s="44">
        <v>2</v>
      </c>
      <c r="O20" s="44">
        <v>2</v>
      </c>
      <c r="P20" s="44">
        <v>2</v>
      </c>
      <c r="Q20" s="44">
        <v>1</v>
      </c>
      <c r="R20" s="44">
        <v>1</v>
      </c>
      <c r="S20" s="44">
        <v>0</v>
      </c>
      <c r="AC20" s="44" t="str">
        <f t="shared" si="4"/>
        <v/>
      </c>
      <c r="AD20" s="44" t="str">
        <f t="shared" si="4"/>
        <v/>
      </c>
    </row>
    <row r="21" spans="1:30" x14ac:dyDescent="0.25">
      <c r="A21" s="52"/>
      <c r="C21" s="73"/>
      <c r="D21" s="74"/>
      <c r="AC21" s="44" t="str">
        <f t="shared" si="4"/>
        <v/>
      </c>
      <c r="AD21" s="44" t="str">
        <f t="shared" si="4"/>
        <v/>
      </c>
    </row>
    <row r="22" spans="1:30" x14ac:dyDescent="0.25">
      <c r="A22" s="52"/>
      <c r="C22" s="73"/>
      <c r="D22" s="74"/>
      <c r="AC22" s="44" t="str">
        <f t="shared" si="4"/>
        <v/>
      </c>
      <c r="AD22" s="44" t="str">
        <f t="shared" si="4"/>
        <v/>
      </c>
    </row>
    <row r="23" spans="1:30" ht="15" customHeight="1" x14ac:dyDescent="0.25">
      <c r="A23" s="52"/>
      <c r="C23" s="73"/>
      <c r="D23" s="74"/>
      <c r="AC23" s="44" t="str">
        <f t="shared" si="4"/>
        <v/>
      </c>
      <c r="AD23" s="44" t="str">
        <f t="shared" si="4"/>
        <v/>
      </c>
    </row>
    <row r="24" spans="1:30" x14ac:dyDescent="0.25">
      <c r="A24" s="52"/>
      <c r="C24" s="73"/>
      <c r="D24" s="74"/>
      <c r="AC24" s="44" t="str">
        <f t="shared" si="4"/>
        <v/>
      </c>
      <c r="AD24" s="44" t="str">
        <f t="shared" si="4"/>
        <v/>
      </c>
    </row>
    <row r="25" spans="1:30" x14ac:dyDescent="0.25">
      <c r="A25" s="52"/>
      <c r="C25" s="73"/>
      <c r="D25" s="74"/>
    </row>
    <row r="26" spans="1:30" x14ac:dyDescent="0.25">
      <c r="A26" s="52"/>
      <c r="C26" s="73"/>
      <c r="D26" s="74"/>
      <c r="AC26" s="44" t="str">
        <f t="shared" ref="AC26:AD34" si="5">IF(OR(AC$14="",$E26=""),"",AB26)</f>
        <v/>
      </c>
      <c r="AD26" s="44" t="str">
        <f t="shared" si="5"/>
        <v/>
      </c>
    </row>
    <row r="27" spans="1:30" x14ac:dyDescent="0.25">
      <c r="A27" s="52"/>
      <c r="C27" s="73"/>
      <c r="D27" s="74"/>
      <c r="AC27" s="44" t="str">
        <f t="shared" si="5"/>
        <v/>
      </c>
      <c r="AD27" s="44" t="str">
        <f t="shared" si="5"/>
        <v/>
      </c>
    </row>
    <row r="28" spans="1:30" x14ac:dyDescent="0.25">
      <c r="A28" s="52"/>
      <c r="C28" s="73"/>
      <c r="D28" s="74"/>
      <c r="AC28" s="44" t="str">
        <f t="shared" si="5"/>
        <v/>
      </c>
      <c r="AD28" s="44" t="str">
        <f t="shared" si="5"/>
        <v/>
      </c>
    </row>
    <row r="29" spans="1:30" x14ac:dyDescent="0.25">
      <c r="A29" s="52"/>
      <c r="C29" s="73"/>
      <c r="D29" s="74"/>
      <c r="AC29" s="44" t="str">
        <f t="shared" si="5"/>
        <v/>
      </c>
      <c r="AD29" s="44" t="str">
        <f t="shared" si="5"/>
        <v/>
      </c>
    </row>
    <row r="30" spans="1:30" x14ac:dyDescent="0.25">
      <c r="A30" s="52"/>
      <c r="C30" s="73"/>
      <c r="D30" s="74"/>
      <c r="AC30" s="44" t="str">
        <f t="shared" si="5"/>
        <v/>
      </c>
      <c r="AD30" s="44" t="str">
        <f t="shared" si="5"/>
        <v/>
      </c>
    </row>
    <row r="31" spans="1:30" x14ac:dyDescent="0.25">
      <c r="A31" s="52"/>
      <c r="C31" s="73"/>
      <c r="D31" s="74"/>
      <c r="AC31" s="44" t="str">
        <f t="shared" si="5"/>
        <v/>
      </c>
      <c r="AD31" s="44" t="str">
        <f t="shared" si="5"/>
        <v/>
      </c>
    </row>
    <row r="32" spans="1:30" x14ac:dyDescent="0.25">
      <c r="A32" s="52"/>
      <c r="C32" s="73"/>
      <c r="D32" s="74"/>
      <c r="AC32" s="44" t="str">
        <f t="shared" si="5"/>
        <v/>
      </c>
      <c r="AD32" s="44" t="str">
        <f t="shared" si="5"/>
        <v/>
      </c>
    </row>
    <row r="33" spans="1:30" x14ac:dyDescent="0.25">
      <c r="A33" s="52"/>
      <c r="C33" s="73"/>
      <c r="D33" s="74"/>
      <c r="AC33" s="44" t="str">
        <f t="shared" si="5"/>
        <v/>
      </c>
      <c r="AD33" s="44" t="str">
        <f t="shared" si="5"/>
        <v/>
      </c>
    </row>
    <row r="34" spans="1:30" x14ac:dyDescent="0.25">
      <c r="A34" s="52"/>
      <c r="C34" s="73"/>
      <c r="D34" s="74"/>
      <c r="AC34" s="44" t="str">
        <f t="shared" si="5"/>
        <v/>
      </c>
      <c r="AD34" s="44" t="str">
        <f t="shared" si="5"/>
        <v/>
      </c>
    </row>
    <row r="35" spans="1:30" x14ac:dyDescent="0.25">
      <c r="A35" s="52"/>
      <c r="C35" s="73"/>
      <c r="D35" s="74"/>
    </row>
    <row r="36" spans="1:30" x14ac:dyDescent="0.25">
      <c r="A36" s="52"/>
      <c r="C36" s="73"/>
      <c r="D36" s="74"/>
      <c r="AC36" s="44" t="str">
        <f t="shared" ref="AC36:AD63" si="6">IF(OR(AC$14="",$E36=""),"",AB36)</f>
        <v/>
      </c>
      <c r="AD36" s="44" t="str">
        <f t="shared" si="6"/>
        <v/>
      </c>
    </row>
    <row r="37" spans="1:30" x14ac:dyDescent="0.25">
      <c r="A37" s="52"/>
      <c r="C37" s="73"/>
      <c r="D37" s="74"/>
      <c r="AC37" s="44" t="str">
        <f t="shared" si="6"/>
        <v/>
      </c>
      <c r="AD37" s="44" t="str">
        <f t="shared" si="6"/>
        <v/>
      </c>
    </row>
    <row r="38" spans="1:30" x14ac:dyDescent="0.25">
      <c r="A38" s="52"/>
      <c r="C38" s="73"/>
      <c r="D38" s="74"/>
      <c r="AC38" s="44" t="str">
        <f t="shared" si="6"/>
        <v/>
      </c>
      <c r="AD38" s="44" t="str">
        <f t="shared" si="6"/>
        <v/>
      </c>
    </row>
    <row r="39" spans="1:30" x14ac:dyDescent="0.25">
      <c r="A39" s="52"/>
      <c r="C39" s="73"/>
      <c r="D39" s="74"/>
      <c r="AC39" s="44" t="str">
        <f t="shared" si="6"/>
        <v/>
      </c>
      <c r="AD39" s="44" t="str">
        <f t="shared" si="6"/>
        <v/>
      </c>
    </row>
    <row r="40" spans="1:30" x14ac:dyDescent="0.25">
      <c r="A40" s="52"/>
      <c r="C40" s="73"/>
      <c r="D40" s="74"/>
      <c r="AC40" s="44" t="str">
        <f t="shared" si="6"/>
        <v/>
      </c>
      <c r="AD40" s="44" t="str">
        <f t="shared" si="6"/>
        <v/>
      </c>
    </row>
    <row r="41" spans="1:30" x14ac:dyDescent="0.25">
      <c r="A41" s="52"/>
      <c r="C41" s="73"/>
      <c r="D41" s="74" t="str">
        <f t="shared" ref="D41:D64" si="7">IF(A41&lt;&gt;"","Planned","")</f>
        <v/>
      </c>
      <c r="F41" s="44" t="str">
        <f t="shared" ref="F41:F63" si="8">IF(OR(F$14="",$E41=""),"",E41)</f>
        <v/>
      </c>
      <c r="AC41" s="44" t="str">
        <f t="shared" si="6"/>
        <v/>
      </c>
      <c r="AD41" s="44" t="str">
        <f t="shared" si="6"/>
        <v/>
      </c>
    </row>
    <row r="42" spans="1:30" x14ac:dyDescent="0.25">
      <c r="C42" s="73"/>
      <c r="D42" s="74" t="str">
        <f t="shared" si="7"/>
        <v/>
      </c>
      <c r="F42" s="44" t="str">
        <f t="shared" si="8"/>
        <v/>
      </c>
      <c r="AC42" s="44" t="str">
        <f t="shared" si="6"/>
        <v/>
      </c>
      <c r="AD42" s="44" t="str">
        <f t="shared" si="6"/>
        <v/>
      </c>
    </row>
    <row r="43" spans="1:30" x14ac:dyDescent="0.25">
      <c r="C43" s="73"/>
      <c r="D43" s="74" t="str">
        <f t="shared" si="7"/>
        <v/>
      </c>
      <c r="F43" s="44" t="str">
        <f t="shared" si="8"/>
        <v/>
      </c>
      <c r="AC43" s="44" t="str">
        <f t="shared" si="6"/>
        <v/>
      </c>
      <c r="AD43" s="44" t="str">
        <f t="shared" si="6"/>
        <v/>
      </c>
    </row>
    <row r="44" spans="1:30" x14ac:dyDescent="0.25">
      <c r="C44" s="73"/>
      <c r="D44" s="74" t="str">
        <f t="shared" si="7"/>
        <v/>
      </c>
      <c r="F44" s="44" t="str">
        <f t="shared" si="8"/>
        <v/>
      </c>
      <c r="AC44" s="44" t="str">
        <f t="shared" si="6"/>
        <v/>
      </c>
      <c r="AD44" s="44" t="str">
        <f t="shared" si="6"/>
        <v/>
      </c>
    </row>
    <row r="45" spans="1:30" x14ac:dyDescent="0.25">
      <c r="C45" s="73"/>
      <c r="D45" s="74" t="str">
        <f t="shared" si="7"/>
        <v/>
      </c>
      <c r="F45" s="44" t="str">
        <f t="shared" si="8"/>
        <v/>
      </c>
      <c r="AC45" s="44" t="str">
        <f t="shared" si="6"/>
        <v/>
      </c>
      <c r="AD45" s="44" t="str">
        <f t="shared" si="6"/>
        <v/>
      </c>
    </row>
    <row r="46" spans="1:30" x14ac:dyDescent="0.25">
      <c r="C46" s="73"/>
      <c r="D46" s="74" t="str">
        <f t="shared" si="7"/>
        <v/>
      </c>
      <c r="F46" s="44" t="str">
        <f t="shared" si="8"/>
        <v/>
      </c>
      <c r="AC46" s="44" t="str">
        <f t="shared" si="6"/>
        <v/>
      </c>
      <c r="AD46" s="44" t="str">
        <f t="shared" si="6"/>
        <v/>
      </c>
    </row>
    <row r="47" spans="1:30" x14ac:dyDescent="0.25">
      <c r="C47" s="73"/>
      <c r="D47" s="74" t="str">
        <f t="shared" si="7"/>
        <v/>
      </c>
      <c r="F47" s="44" t="str">
        <f t="shared" si="8"/>
        <v/>
      </c>
      <c r="AC47" s="44" t="str">
        <f t="shared" si="6"/>
        <v/>
      </c>
      <c r="AD47" s="44" t="str">
        <f t="shared" si="6"/>
        <v/>
      </c>
    </row>
    <row r="48" spans="1:30" x14ac:dyDescent="0.25">
      <c r="C48" s="73"/>
      <c r="D48" s="74" t="str">
        <f t="shared" si="7"/>
        <v/>
      </c>
      <c r="F48" s="44" t="str">
        <f t="shared" si="8"/>
        <v/>
      </c>
      <c r="AC48" s="44" t="str">
        <f t="shared" si="6"/>
        <v/>
      </c>
      <c r="AD48" s="44" t="str">
        <f t="shared" si="6"/>
        <v/>
      </c>
    </row>
    <row r="49" spans="3:30" x14ac:dyDescent="0.25">
      <c r="C49" s="73"/>
      <c r="D49" s="74" t="str">
        <f t="shared" si="7"/>
        <v/>
      </c>
      <c r="F49" s="44" t="str">
        <f t="shared" si="8"/>
        <v/>
      </c>
      <c r="AC49" s="44" t="str">
        <f t="shared" si="6"/>
        <v/>
      </c>
      <c r="AD49" s="44" t="str">
        <f t="shared" si="6"/>
        <v/>
      </c>
    </row>
    <row r="50" spans="3:30" x14ac:dyDescent="0.25">
      <c r="C50" s="73"/>
      <c r="D50" s="74" t="str">
        <f t="shared" si="7"/>
        <v/>
      </c>
      <c r="F50" s="44" t="str">
        <f t="shared" si="8"/>
        <v/>
      </c>
      <c r="AC50" s="44" t="str">
        <f t="shared" si="6"/>
        <v/>
      </c>
      <c r="AD50" s="44" t="str">
        <f t="shared" si="6"/>
        <v/>
      </c>
    </row>
    <row r="51" spans="3:30" x14ac:dyDescent="0.25">
      <c r="C51" s="73"/>
      <c r="D51" s="74" t="str">
        <f t="shared" si="7"/>
        <v/>
      </c>
      <c r="F51" s="44" t="str">
        <f t="shared" si="8"/>
        <v/>
      </c>
      <c r="AC51" s="44" t="str">
        <f t="shared" si="6"/>
        <v/>
      </c>
      <c r="AD51" s="44" t="str">
        <f t="shared" si="6"/>
        <v/>
      </c>
    </row>
    <row r="52" spans="3:30" x14ac:dyDescent="0.25">
      <c r="C52" s="73"/>
      <c r="D52" s="74" t="str">
        <f t="shared" si="7"/>
        <v/>
      </c>
      <c r="F52" s="44" t="str">
        <f t="shared" si="8"/>
        <v/>
      </c>
      <c r="AC52" s="44" t="str">
        <f t="shared" si="6"/>
        <v/>
      </c>
      <c r="AD52" s="44" t="str">
        <f t="shared" si="6"/>
        <v/>
      </c>
    </row>
    <row r="53" spans="3:30" x14ac:dyDescent="0.25">
      <c r="C53" s="73"/>
      <c r="D53" s="74" t="str">
        <f t="shared" si="7"/>
        <v/>
      </c>
      <c r="F53" s="44" t="str">
        <f t="shared" si="8"/>
        <v/>
      </c>
      <c r="AC53" s="44" t="str">
        <f t="shared" si="6"/>
        <v/>
      </c>
      <c r="AD53" s="44" t="str">
        <f t="shared" si="6"/>
        <v/>
      </c>
    </row>
    <row r="54" spans="3:30" x14ac:dyDescent="0.25">
      <c r="C54" s="73"/>
      <c r="D54" s="74" t="str">
        <f t="shared" si="7"/>
        <v/>
      </c>
      <c r="F54" s="44" t="str">
        <f t="shared" si="8"/>
        <v/>
      </c>
      <c r="AC54" s="44" t="str">
        <f t="shared" si="6"/>
        <v/>
      </c>
      <c r="AD54" s="44" t="str">
        <f t="shared" si="6"/>
        <v/>
      </c>
    </row>
    <row r="55" spans="3:30" x14ac:dyDescent="0.25">
      <c r="C55" s="73"/>
      <c r="D55" s="74" t="str">
        <f t="shared" si="7"/>
        <v/>
      </c>
      <c r="F55" s="44" t="str">
        <f t="shared" si="8"/>
        <v/>
      </c>
      <c r="AC55" s="44" t="str">
        <f t="shared" si="6"/>
        <v/>
      </c>
      <c r="AD55" s="44" t="str">
        <f t="shared" si="6"/>
        <v/>
      </c>
    </row>
    <row r="56" spans="3:30" x14ac:dyDescent="0.25">
      <c r="C56" s="73"/>
      <c r="D56" s="74" t="str">
        <f t="shared" si="7"/>
        <v/>
      </c>
      <c r="F56" s="44" t="str">
        <f t="shared" si="8"/>
        <v/>
      </c>
      <c r="AC56" s="44" t="str">
        <f t="shared" si="6"/>
        <v/>
      </c>
      <c r="AD56" s="44" t="str">
        <f t="shared" si="6"/>
        <v/>
      </c>
    </row>
    <row r="57" spans="3:30" x14ac:dyDescent="0.25">
      <c r="C57" s="73"/>
      <c r="D57" s="74" t="str">
        <f t="shared" si="7"/>
        <v/>
      </c>
      <c r="F57" s="44" t="str">
        <f t="shared" si="8"/>
        <v/>
      </c>
      <c r="AC57" s="44" t="str">
        <f t="shared" si="6"/>
        <v/>
      </c>
      <c r="AD57" s="44" t="str">
        <f t="shared" si="6"/>
        <v/>
      </c>
    </row>
    <row r="58" spans="3:30" x14ac:dyDescent="0.25">
      <c r="C58" s="73"/>
      <c r="D58" s="74" t="str">
        <f t="shared" si="7"/>
        <v/>
      </c>
      <c r="F58" s="44" t="str">
        <f t="shared" si="8"/>
        <v/>
      </c>
      <c r="AC58" s="44" t="str">
        <f t="shared" si="6"/>
        <v/>
      </c>
      <c r="AD58" s="44" t="str">
        <f t="shared" si="6"/>
        <v/>
      </c>
    </row>
    <row r="59" spans="3:30" x14ac:dyDescent="0.25">
      <c r="D59" s="46" t="str">
        <f t="shared" si="7"/>
        <v/>
      </c>
      <c r="F59" s="44" t="str">
        <f t="shared" si="8"/>
        <v/>
      </c>
      <c r="AC59" s="44" t="str">
        <f t="shared" si="6"/>
        <v/>
      </c>
      <c r="AD59" s="44" t="str">
        <f t="shared" si="6"/>
        <v/>
      </c>
    </row>
    <row r="60" spans="3:30" x14ac:dyDescent="0.25">
      <c r="D60" s="46" t="str">
        <f t="shared" si="7"/>
        <v/>
      </c>
      <c r="F60" s="44" t="str">
        <f t="shared" si="8"/>
        <v/>
      </c>
      <c r="AC60" s="44" t="str">
        <f t="shared" si="6"/>
        <v/>
      </c>
      <c r="AD60" s="44" t="str">
        <f t="shared" si="6"/>
        <v/>
      </c>
    </row>
    <row r="61" spans="3:30" x14ac:dyDescent="0.25">
      <c r="D61" s="46" t="str">
        <f t="shared" si="7"/>
        <v/>
      </c>
      <c r="F61" s="44" t="str">
        <f t="shared" si="8"/>
        <v/>
      </c>
      <c r="AC61" s="44" t="str">
        <f t="shared" si="6"/>
        <v/>
      </c>
      <c r="AD61" s="44" t="str">
        <f t="shared" si="6"/>
        <v/>
      </c>
    </row>
    <row r="62" spans="3:30" x14ac:dyDescent="0.25">
      <c r="D62" s="46" t="str">
        <f t="shared" si="7"/>
        <v/>
      </c>
      <c r="F62" s="44" t="str">
        <f t="shared" si="8"/>
        <v/>
      </c>
      <c r="G62" s="44" t="str">
        <f t="shared" ref="G62:AB62" si="9">IF(OR(G$14="",$E62=""),"",F62)</f>
        <v/>
      </c>
      <c r="H62" s="44" t="str">
        <f t="shared" si="9"/>
        <v/>
      </c>
      <c r="I62" s="44" t="str">
        <f t="shared" si="9"/>
        <v/>
      </c>
      <c r="J62" s="44" t="str">
        <f t="shared" si="9"/>
        <v/>
      </c>
      <c r="K62" s="44" t="str">
        <f t="shared" si="9"/>
        <v/>
      </c>
      <c r="L62" s="44" t="str">
        <f t="shared" si="9"/>
        <v/>
      </c>
      <c r="M62" s="44" t="str">
        <f t="shared" si="9"/>
        <v/>
      </c>
      <c r="N62" s="44" t="str">
        <f t="shared" si="9"/>
        <v/>
      </c>
      <c r="O62" s="44" t="str">
        <f t="shared" si="9"/>
        <v/>
      </c>
      <c r="P62" s="44" t="str">
        <f t="shared" si="9"/>
        <v/>
      </c>
      <c r="Q62" s="44" t="str">
        <f t="shared" si="9"/>
        <v/>
      </c>
      <c r="R62" s="44" t="str">
        <f t="shared" si="9"/>
        <v/>
      </c>
      <c r="S62" s="44" t="str">
        <f t="shared" si="9"/>
        <v/>
      </c>
      <c r="T62" s="44" t="str">
        <f t="shared" si="9"/>
        <v/>
      </c>
      <c r="U62" s="44" t="str">
        <f t="shared" si="9"/>
        <v/>
      </c>
      <c r="V62" s="44" t="str">
        <f t="shared" si="9"/>
        <v/>
      </c>
      <c r="W62" s="44" t="str">
        <f t="shared" si="9"/>
        <v/>
      </c>
      <c r="X62" s="44" t="str">
        <f t="shared" si="9"/>
        <v/>
      </c>
      <c r="Y62" s="44" t="str">
        <f t="shared" si="9"/>
        <v/>
      </c>
      <c r="Z62" s="44" t="str">
        <f t="shared" si="9"/>
        <v/>
      </c>
      <c r="AA62" s="44" t="str">
        <f t="shared" si="9"/>
        <v/>
      </c>
      <c r="AB62" s="44" t="str">
        <f t="shared" si="9"/>
        <v/>
      </c>
      <c r="AC62" s="44" t="str">
        <f t="shared" si="6"/>
        <v/>
      </c>
      <c r="AD62" s="44" t="str">
        <f t="shared" si="6"/>
        <v/>
      </c>
    </row>
    <row r="63" spans="3:30" x14ac:dyDescent="0.25">
      <c r="D63" s="46" t="str">
        <f t="shared" si="7"/>
        <v/>
      </c>
      <c r="F63" s="44" t="str">
        <f t="shared" si="8"/>
        <v/>
      </c>
      <c r="G63" s="44" t="str">
        <f t="shared" ref="G63:AB63" si="10">IF(OR(G$14="",$E63=""),"",F63)</f>
        <v/>
      </c>
      <c r="H63" s="44" t="str">
        <f t="shared" si="10"/>
        <v/>
      </c>
      <c r="I63" s="44" t="str">
        <f t="shared" si="10"/>
        <v/>
      </c>
      <c r="J63" s="44" t="str">
        <f t="shared" si="10"/>
        <v/>
      </c>
      <c r="K63" s="44" t="str">
        <f t="shared" si="10"/>
        <v/>
      </c>
      <c r="L63" s="44" t="str">
        <f t="shared" si="10"/>
        <v/>
      </c>
      <c r="M63" s="44" t="str">
        <f t="shared" si="10"/>
        <v/>
      </c>
      <c r="N63" s="44" t="str">
        <f t="shared" si="10"/>
        <v/>
      </c>
      <c r="O63" s="44" t="str">
        <f t="shared" si="10"/>
        <v/>
      </c>
      <c r="P63" s="44" t="str">
        <f t="shared" si="10"/>
        <v/>
      </c>
      <c r="Q63" s="44" t="str">
        <f t="shared" si="10"/>
        <v/>
      </c>
      <c r="R63" s="44" t="str">
        <f t="shared" si="10"/>
        <v/>
      </c>
      <c r="S63" s="44" t="str">
        <f t="shared" si="10"/>
        <v/>
      </c>
      <c r="T63" s="44" t="str">
        <f t="shared" si="10"/>
        <v/>
      </c>
      <c r="U63" s="44" t="str">
        <f t="shared" si="10"/>
        <v/>
      </c>
      <c r="V63" s="44" t="str">
        <f t="shared" si="10"/>
        <v/>
      </c>
      <c r="W63" s="44" t="str">
        <f t="shared" si="10"/>
        <v/>
      </c>
      <c r="X63" s="44" t="str">
        <f t="shared" si="10"/>
        <v/>
      </c>
      <c r="Y63" s="44" t="str">
        <f t="shared" si="10"/>
        <v/>
      </c>
      <c r="Z63" s="44" t="str">
        <f t="shared" si="10"/>
        <v/>
      </c>
      <c r="AA63" s="44" t="str">
        <f t="shared" si="10"/>
        <v/>
      </c>
      <c r="AB63" s="44" t="str">
        <f t="shared" si="10"/>
        <v/>
      </c>
      <c r="AC63" s="44" t="str">
        <f t="shared" si="6"/>
        <v/>
      </c>
      <c r="AD63" s="44" t="str">
        <f t="shared" si="6"/>
        <v/>
      </c>
    </row>
    <row r="64" spans="3:30" x14ac:dyDescent="0.25">
      <c r="D64" s="46" t="str">
        <f t="shared" si="7"/>
        <v/>
      </c>
    </row>
  </sheetData>
  <conditionalFormatting sqref="A15:AD58">
    <cfRule type="expression" dxfId="7" priority="2">
      <formula>$D15="Done"</formula>
    </cfRule>
    <cfRule type="expression" dxfId="6" priority="3">
      <formula>$D15="Ongoing"</formula>
    </cfRule>
  </conditionalFormatting>
  <dataValidations count="1">
    <dataValidation type="list" allowBlank="1" sqref="D3:D8 D15:D64" xr:uid="{00000000-0002-0000-03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D64"/>
  <sheetViews>
    <sheetView zoomScaleNormal="100" workbookViewId="0">
      <pane ySplit="14" topLeftCell="A15" activePane="bottomLeft" state="frozen"/>
      <selection pane="bottomLeft" activeCell="F26" sqref="F26"/>
    </sheetView>
  </sheetViews>
  <sheetFormatPr defaultRowHeight="13.2" x14ac:dyDescent="0.25"/>
  <cols>
    <col min="1" max="1" width="38.44140625" customWidth="1"/>
    <col min="2" max="2" width="8.44140625" style="4" customWidth="1"/>
    <col min="3" max="3" width="13.6640625" customWidth="1"/>
    <col min="4" max="4" width="10.77734375" customWidth="1"/>
    <col min="5" max="5" width="6.44140625" style="4" customWidth="1"/>
    <col min="6" max="30" width="4.44140625" style="4" customWidth="1"/>
    <col min="31" max="1025" width="9" customWidth="1"/>
  </cols>
  <sheetData>
    <row r="1" spans="1:30" ht="17.399999999999999" x14ac:dyDescent="0.3">
      <c r="A1" s="75" t="s">
        <v>133</v>
      </c>
      <c r="B1" s="76"/>
      <c r="E1" s="64"/>
      <c r="F1" s="64"/>
      <c r="G1" s="64"/>
      <c r="H1" s="64"/>
      <c r="I1" s="64"/>
      <c r="J1" s="64"/>
      <c r="K1" s="64"/>
      <c r="L1" s="64"/>
      <c r="M1" s="64"/>
      <c r="N1" s="64"/>
      <c r="O1" s="64"/>
      <c r="P1" s="64"/>
      <c r="Q1" s="64"/>
      <c r="R1" s="64"/>
      <c r="S1" s="64"/>
      <c r="T1" s="64"/>
      <c r="U1" s="64"/>
      <c r="V1" s="64"/>
      <c r="W1" s="64"/>
      <c r="X1" s="64"/>
      <c r="Y1" s="64"/>
      <c r="Z1" s="64"/>
      <c r="AA1" s="64"/>
      <c r="AB1" s="64"/>
      <c r="AC1" s="64"/>
      <c r="AD1" s="64"/>
    </row>
    <row r="2" spans="1:30" x14ac:dyDescent="0.25">
      <c r="E2" s="64"/>
      <c r="F2" s="64"/>
      <c r="G2" s="64"/>
      <c r="H2" s="64"/>
      <c r="I2" s="64"/>
      <c r="J2" s="64"/>
      <c r="K2" s="64"/>
      <c r="L2" s="64"/>
      <c r="M2" s="64"/>
      <c r="N2" s="64"/>
      <c r="O2" s="64"/>
      <c r="P2" s="64"/>
      <c r="Q2" s="64"/>
      <c r="R2" s="64"/>
      <c r="S2" s="64"/>
      <c r="T2" s="64"/>
      <c r="U2" s="64"/>
      <c r="V2" s="64"/>
      <c r="W2" s="64"/>
      <c r="X2" s="64"/>
      <c r="Y2" s="64"/>
      <c r="Z2" s="64"/>
      <c r="AA2" s="64"/>
      <c r="AB2" s="64"/>
      <c r="AC2" s="64"/>
      <c r="AD2" s="64"/>
    </row>
    <row r="9" spans="1:30" x14ac:dyDescent="0.25">
      <c r="A9" s="77" t="s">
        <v>111</v>
      </c>
      <c r="B9" s="4">
        <v>14</v>
      </c>
      <c r="C9" s="77"/>
      <c r="D9" s="78"/>
      <c r="E9" s="79" t="s">
        <v>112</v>
      </c>
      <c r="F9" s="79" t="s">
        <v>113</v>
      </c>
      <c r="G9" s="79"/>
      <c r="H9" s="79"/>
      <c r="I9" s="79"/>
      <c r="J9" s="79"/>
      <c r="K9" s="79"/>
      <c r="L9" s="79"/>
      <c r="M9" s="80"/>
      <c r="N9" s="80"/>
      <c r="O9" s="80"/>
      <c r="P9" s="80"/>
      <c r="Q9" s="80"/>
      <c r="R9" s="80"/>
      <c r="S9" s="80"/>
      <c r="T9" s="80"/>
      <c r="U9" s="80"/>
      <c r="V9" s="80"/>
      <c r="W9" s="80"/>
      <c r="X9" s="80"/>
      <c r="Y9" s="80"/>
      <c r="Z9" s="80"/>
      <c r="AA9" s="80"/>
      <c r="AB9" s="80"/>
      <c r="AC9" s="80"/>
      <c r="AD9" s="80"/>
    </row>
    <row r="10" spans="1:30" x14ac:dyDescent="0.25">
      <c r="A10" s="77" t="s">
        <v>114</v>
      </c>
      <c r="B10" s="4">
        <v>14</v>
      </c>
      <c r="C10" s="77" t="s">
        <v>3</v>
      </c>
      <c r="D10" s="77" t="s">
        <v>115</v>
      </c>
      <c r="E10" s="81">
        <f ca="1">SUM(OFFSET(E14,1,0,TaskRows,1))</f>
        <v>44</v>
      </c>
      <c r="F10" s="81">
        <f ca="1">IF(AND(SUM(OFFSET(F14,1,0,TaskRows,1))=0),0,SUM(OFFSET(F14,1,0,TaskRows,1)))</f>
        <v>44</v>
      </c>
      <c r="G10" s="81">
        <f t="shared" ref="G10:M10" ca="1" si="0">IF(AND(SUM(OFFSET(G14,1,0,TaskRows,1))=0),"",SUM(OFFSET(G14,1,0,TaskRows,1)))</f>
        <v>41</v>
      </c>
      <c r="H10" s="81">
        <f t="shared" ca="1" si="0"/>
        <v>39</v>
      </c>
      <c r="I10" s="81">
        <f t="shared" ca="1" si="0"/>
        <v>34</v>
      </c>
      <c r="J10" s="81">
        <f t="shared" ca="1" si="0"/>
        <v>29</v>
      </c>
      <c r="K10" s="81">
        <f t="shared" ca="1" si="0"/>
        <v>21</v>
      </c>
      <c r="L10" s="81">
        <f t="shared" ca="1" si="0"/>
        <v>16</v>
      </c>
      <c r="M10" s="81">
        <f t="shared" ca="1" si="0"/>
        <v>7</v>
      </c>
      <c r="N10" s="81">
        <v>0</v>
      </c>
      <c r="O10" s="81">
        <v>0</v>
      </c>
      <c r="P10" s="81">
        <v>0</v>
      </c>
      <c r="Q10" s="81">
        <v>0</v>
      </c>
      <c r="R10" s="81">
        <v>0</v>
      </c>
      <c r="S10" s="81">
        <v>0</v>
      </c>
      <c r="T10" s="81" t="str">
        <f t="shared" ref="T10:AD10" ca="1" si="1">IF(AND(SUM(OFFSET(T14,1,0,TaskRows,1))=0),"",SUM(OFFSET(T14,1,0,TaskRows,1)))</f>
        <v/>
      </c>
      <c r="U10" s="81" t="str">
        <f t="shared" ca="1" si="1"/>
        <v/>
      </c>
      <c r="V10" s="81" t="str">
        <f t="shared" ca="1" si="1"/>
        <v/>
      </c>
      <c r="W10" s="81" t="str">
        <f t="shared" ca="1" si="1"/>
        <v/>
      </c>
      <c r="X10" s="81" t="str">
        <f t="shared" ca="1" si="1"/>
        <v/>
      </c>
      <c r="Y10" s="81" t="str">
        <f t="shared" ca="1" si="1"/>
        <v/>
      </c>
      <c r="Z10" s="81" t="str">
        <f t="shared" ca="1" si="1"/>
        <v/>
      </c>
      <c r="AA10" s="81" t="str">
        <f t="shared" ca="1" si="1"/>
        <v/>
      </c>
      <c r="AB10" s="81" t="str">
        <f t="shared" ca="1" si="1"/>
        <v/>
      </c>
      <c r="AC10" s="81" t="str">
        <f t="shared" ca="1" si="1"/>
        <v/>
      </c>
      <c r="AD10" s="81" t="str">
        <f t="shared" ca="1" si="1"/>
        <v/>
      </c>
    </row>
    <row r="11" spans="1:30" hidden="1" x14ac:dyDescent="0.25">
      <c r="A11" t="s">
        <v>116</v>
      </c>
      <c r="B11" s="4">
        <f>IF(COUNTA(A15:A242)=0,1,COUNTA(A15:A242))</f>
        <v>7</v>
      </c>
      <c r="C11" t="s">
        <v>117</v>
      </c>
      <c r="D11" s="4">
        <f ca="1">IF(COUNTIF(F10:AD10,"&gt;0")=0,1,COUNTIF(F10:AD10,"&gt;0"))</f>
        <v>8</v>
      </c>
      <c r="F11" s="4">
        <f ca="1">IF(F14="","",$E10-$E10/($B9-1)*(F14-1))</f>
        <v>44</v>
      </c>
      <c r="G11" s="4">
        <f t="shared" ref="G11:AD11" ca="1" si="2">IF(G14="","",TotalEffort-TotalEffort/(ImplementationDays)*(G14-1))</f>
        <v>40.857142857142854</v>
      </c>
      <c r="H11" s="4">
        <f t="shared" ca="1" si="2"/>
        <v>37.714285714285715</v>
      </c>
      <c r="I11" s="4">
        <f t="shared" ca="1" si="2"/>
        <v>34.571428571428569</v>
      </c>
      <c r="J11" s="4">
        <f t="shared" ca="1" si="2"/>
        <v>31.428571428571431</v>
      </c>
      <c r="K11" s="4">
        <f t="shared" ca="1" si="2"/>
        <v>28.285714285714285</v>
      </c>
      <c r="L11" s="4">
        <f t="shared" ca="1" si="2"/>
        <v>25.142857142857142</v>
      </c>
      <c r="M11" s="4">
        <f t="shared" ca="1" si="2"/>
        <v>22</v>
      </c>
      <c r="N11" s="4">
        <f t="shared" ca="1" si="2"/>
        <v>18.857142857142858</v>
      </c>
      <c r="O11" s="4">
        <f t="shared" ca="1" si="2"/>
        <v>15.714285714285715</v>
      </c>
      <c r="P11" s="4">
        <f t="shared" ca="1" si="2"/>
        <v>12.571428571428573</v>
      </c>
      <c r="Q11" s="4">
        <f t="shared" ca="1" si="2"/>
        <v>9.4285714285714306</v>
      </c>
      <c r="R11" s="4">
        <f t="shared" ca="1" si="2"/>
        <v>6.2857142857142847</v>
      </c>
      <c r="S11" s="4">
        <f t="shared" ca="1" si="2"/>
        <v>3.1428571428571459</v>
      </c>
      <c r="T11" s="4" t="str">
        <f t="shared" si="2"/>
        <v/>
      </c>
      <c r="U11" s="4" t="str">
        <f t="shared" si="2"/>
        <v/>
      </c>
      <c r="V11" s="4" t="str">
        <f t="shared" si="2"/>
        <v/>
      </c>
      <c r="W11" s="4" t="str">
        <f t="shared" si="2"/>
        <v/>
      </c>
      <c r="X11" s="4" t="str">
        <f t="shared" si="2"/>
        <v/>
      </c>
      <c r="Y11" s="4" t="str">
        <f t="shared" si="2"/>
        <v/>
      </c>
      <c r="Z11" s="4" t="str">
        <f t="shared" si="2"/>
        <v/>
      </c>
      <c r="AA11" s="4" t="str">
        <f t="shared" si="2"/>
        <v/>
      </c>
      <c r="AB11" s="4" t="str">
        <f t="shared" si="2"/>
        <v/>
      </c>
      <c r="AC11" s="4" t="str">
        <f t="shared" si="2"/>
        <v/>
      </c>
      <c r="AD11" s="4" t="str">
        <f t="shared" si="2"/>
        <v/>
      </c>
    </row>
    <row r="12" spans="1:30" hidden="1" x14ac:dyDescent="0.25">
      <c r="A12" s="56" t="s">
        <v>118</v>
      </c>
      <c r="C12" t="s">
        <v>82</v>
      </c>
      <c r="D12" s="4"/>
      <c r="F12" s="4">
        <f t="shared" ref="F12:AD12" ca="1" si="3">IF(TREND(OFFSET($F10,0,DoneDays-TrendDays,1,TrendDays),OFFSET($F13,0,DoneDays-TrendDays,1,TrendDays),F13)&lt;0,"",TREND(OFFSET($F10,0,DoneDays-TrendDays,1,TrendDays),OFFSET($F13,0,DoneDays-TrendDays,1,TrendDays),F13))</f>
        <v>47.333333333333329</v>
      </c>
      <c r="G12" s="4">
        <f t="shared" ca="1" si="3"/>
        <v>42.05952380952381</v>
      </c>
      <c r="H12" s="4">
        <f t="shared" ca="1" si="3"/>
        <v>36.785714285714285</v>
      </c>
      <c r="I12" s="4">
        <f t="shared" ca="1" si="3"/>
        <v>31.511904761904763</v>
      </c>
      <c r="J12" s="4">
        <f t="shared" ca="1" si="3"/>
        <v>26.238095238095241</v>
      </c>
      <c r="K12" s="4">
        <f t="shared" ca="1" si="3"/>
        <v>20.964285714285715</v>
      </c>
      <c r="L12" s="4">
        <f t="shared" ca="1" si="3"/>
        <v>15.690476190476197</v>
      </c>
      <c r="M12" s="4">
        <f t="shared" ca="1" si="3"/>
        <v>10.416666666666671</v>
      </c>
      <c r="N12" s="4">
        <f t="shared" ca="1" si="3"/>
        <v>5.1428571428571459</v>
      </c>
      <c r="O12" s="4" t="str">
        <f t="shared" ca="1" si="3"/>
        <v/>
      </c>
      <c r="P12" s="4" t="str">
        <f t="shared" ca="1" si="3"/>
        <v/>
      </c>
      <c r="Q12" s="4" t="str">
        <f t="shared" ca="1" si="3"/>
        <v/>
      </c>
      <c r="R12" s="4" t="str">
        <f t="shared" ca="1" si="3"/>
        <v/>
      </c>
      <c r="S12" s="4" t="str">
        <f t="shared" ca="1" si="3"/>
        <v/>
      </c>
      <c r="T12" s="4" t="str">
        <f t="shared" ca="1" si="3"/>
        <v/>
      </c>
      <c r="U12" s="4" t="str">
        <f t="shared" ca="1" si="3"/>
        <v/>
      </c>
      <c r="V12" s="4" t="str">
        <f t="shared" ca="1" si="3"/>
        <v/>
      </c>
      <c r="W12" s="4" t="str">
        <f t="shared" ca="1" si="3"/>
        <v/>
      </c>
      <c r="X12" s="4" t="str">
        <f t="shared" ca="1" si="3"/>
        <v/>
      </c>
      <c r="Y12" s="4" t="str">
        <f t="shared" ca="1" si="3"/>
        <v/>
      </c>
      <c r="Z12" s="4" t="str">
        <f t="shared" ca="1" si="3"/>
        <v/>
      </c>
      <c r="AA12" s="4" t="str">
        <f t="shared" ca="1" si="3"/>
        <v/>
      </c>
      <c r="AB12" s="4" t="str">
        <f t="shared" ca="1" si="3"/>
        <v/>
      </c>
      <c r="AC12" s="4" t="str">
        <f t="shared" ca="1" si="3"/>
        <v/>
      </c>
      <c r="AD12" s="4" t="str">
        <f t="shared" ca="1" si="3"/>
        <v/>
      </c>
    </row>
    <row r="13" spans="1:30" hidden="1" x14ac:dyDescent="0.25">
      <c r="A13" s="56" t="s">
        <v>119</v>
      </c>
      <c r="C13" t="s">
        <v>120</v>
      </c>
      <c r="D13" s="4">
        <f ca="1">IF(DoneDays&gt;B10,B10,DoneDays)</f>
        <v>8</v>
      </c>
      <c r="F13" s="4">
        <f ca="1">IF(DoneDays&gt;E13,E13+1,"")</f>
        <v>1</v>
      </c>
      <c r="G13" s="4">
        <v>2</v>
      </c>
      <c r="H13" s="4">
        <v>3</v>
      </c>
      <c r="I13" s="4">
        <v>4</v>
      </c>
      <c r="J13" s="4">
        <v>5</v>
      </c>
      <c r="K13" s="4">
        <v>6</v>
      </c>
      <c r="L13" s="4">
        <v>7</v>
      </c>
      <c r="M13" s="4">
        <v>8</v>
      </c>
      <c r="N13" s="4">
        <v>9</v>
      </c>
      <c r="O13" s="4">
        <v>10</v>
      </c>
      <c r="P13" s="4">
        <v>11</v>
      </c>
      <c r="Q13" s="4">
        <v>12</v>
      </c>
      <c r="R13" s="4">
        <v>13</v>
      </c>
      <c r="S13" s="4">
        <v>14</v>
      </c>
      <c r="T13" s="4">
        <v>15</v>
      </c>
      <c r="U13" s="4">
        <v>16</v>
      </c>
      <c r="V13" s="4">
        <v>17</v>
      </c>
      <c r="W13" s="4">
        <v>18</v>
      </c>
      <c r="X13" s="4">
        <v>19</v>
      </c>
      <c r="Y13" s="4">
        <v>20</v>
      </c>
      <c r="Z13" s="4">
        <v>21</v>
      </c>
      <c r="AA13" s="4">
        <v>22</v>
      </c>
      <c r="AB13" s="4">
        <v>23</v>
      </c>
      <c r="AC13" s="4">
        <v>24</v>
      </c>
      <c r="AD13" s="4">
        <v>25</v>
      </c>
    </row>
    <row r="14" spans="1:30" x14ac:dyDescent="0.25">
      <c r="A14" s="77" t="s">
        <v>121</v>
      </c>
      <c r="B14" s="82" t="s">
        <v>20</v>
      </c>
      <c r="C14" s="77" t="s">
        <v>122</v>
      </c>
      <c r="D14" s="77" t="s">
        <v>6</v>
      </c>
      <c r="E14" s="82" t="s">
        <v>123</v>
      </c>
      <c r="F14" s="82">
        <v>1</v>
      </c>
      <c r="G14" s="82">
        <f t="shared" ref="G14:AD14" si="4">IF($B$9&gt;F14,F14+1,"")</f>
        <v>2</v>
      </c>
      <c r="H14" s="82">
        <f t="shared" si="4"/>
        <v>3</v>
      </c>
      <c r="I14" s="82">
        <f t="shared" si="4"/>
        <v>4</v>
      </c>
      <c r="J14" s="82">
        <f t="shared" si="4"/>
        <v>5</v>
      </c>
      <c r="K14" s="82">
        <f t="shared" si="4"/>
        <v>6</v>
      </c>
      <c r="L14" s="82">
        <f t="shared" si="4"/>
        <v>7</v>
      </c>
      <c r="M14" s="82">
        <f t="shared" si="4"/>
        <v>8</v>
      </c>
      <c r="N14" s="82">
        <f t="shared" si="4"/>
        <v>9</v>
      </c>
      <c r="O14" s="82">
        <f t="shared" si="4"/>
        <v>10</v>
      </c>
      <c r="P14" s="82">
        <f t="shared" si="4"/>
        <v>11</v>
      </c>
      <c r="Q14" s="82">
        <f t="shared" si="4"/>
        <v>12</v>
      </c>
      <c r="R14" s="82">
        <f t="shared" si="4"/>
        <v>13</v>
      </c>
      <c r="S14" s="82">
        <f t="shared" si="4"/>
        <v>14</v>
      </c>
      <c r="T14" s="82" t="str">
        <f t="shared" si="4"/>
        <v/>
      </c>
      <c r="U14" s="82" t="str">
        <f t="shared" si="4"/>
        <v/>
      </c>
      <c r="V14" s="82" t="str">
        <f t="shared" si="4"/>
        <v/>
      </c>
      <c r="W14" s="82" t="str">
        <f t="shared" si="4"/>
        <v/>
      </c>
      <c r="X14" s="82" t="str">
        <f t="shared" si="4"/>
        <v/>
      </c>
      <c r="Y14" s="82" t="str">
        <f t="shared" si="4"/>
        <v/>
      </c>
      <c r="Z14" s="82" t="str">
        <f t="shared" si="4"/>
        <v/>
      </c>
      <c r="AA14" s="82" t="str">
        <f t="shared" si="4"/>
        <v/>
      </c>
      <c r="AB14" s="82" t="str">
        <f t="shared" si="4"/>
        <v/>
      </c>
      <c r="AC14" s="82" t="str">
        <f t="shared" si="4"/>
        <v/>
      </c>
      <c r="AD14" s="82" t="str">
        <f t="shared" si="4"/>
        <v/>
      </c>
    </row>
    <row r="15" spans="1:30" x14ac:dyDescent="0.25">
      <c r="A15" s="73" t="s">
        <v>27</v>
      </c>
      <c r="B15" s="4">
        <v>2</v>
      </c>
      <c r="C15" s="73" t="s">
        <v>134</v>
      </c>
      <c r="D15" t="str">
        <f t="shared" ref="D15:D59" si="5">IF(A15&lt;&gt;"","Planned","")</f>
        <v>Planned</v>
      </c>
      <c r="E15" s="4">
        <v>15</v>
      </c>
      <c r="F15" s="4">
        <f t="shared" ref="F15:F59" si="6">IF(OR(F$14="",$E15=""),"",E15)</f>
        <v>15</v>
      </c>
      <c r="G15" s="4">
        <v>13</v>
      </c>
      <c r="H15" s="4">
        <v>13</v>
      </c>
      <c r="I15" s="4">
        <v>11</v>
      </c>
      <c r="J15" s="4">
        <v>11</v>
      </c>
      <c r="K15" s="4">
        <v>9</v>
      </c>
      <c r="L15" s="4">
        <v>9</v>
      </c>
      <c r="M15" s="4">
        <v>6</v>
      </c>
      <c r="N15" s="4">
        <v>6</v>
      </c>
      <c r="O15" s="4">
        <v>3</v>
      </c>
      <c r="P15" s="4">
        <v>3</v>
      </c>
      <c r="Q15" s="4">
        <v>0</v>
      </c>
      <c r="R15" s="4">
        <v>0</v>
      </c>
      <c r="S15" s="4">
        <v>0</v>
      </c>
    </row>
    <row r="16" spans="1:30" x14ac:dyDescent="0.25">
      <c r="A16" s="73" t="s">
        <v>33</v>
      </c>
      <c r="B16" s="4">
        <v>5</v>
      </c>
      <c r="C16" s="73" t="s">
        <v>128</v>
      </c>
      <c r="D16" t="str">
        <f t="shared" si="5"/>
        <v>Planned</v>
      </c>
      <c r="E16" s="4">
        <v>5</v>
      </c>
      <c r="F16" s="4">
        <f t="shared" si="6"/>
        <v>5</v>
      </c>
      <c r="G16" s="4">
        <v>5</v>
      </c>
      <c r="H16" s="4">
        <v>3</v>
      </c>
      <c r="I16" s="4">
        <v>3</v>
      </c>
      <c r="J16" s="4">
        <v>1</v>
      </c>
      <c r="K16" s="4">
        <v>1</v>
      </c>
      <c r="L16" s="4">
        <v>1</v>
      </c>
      <c r="M16" s="4">
        <v>0</v>
      </c>
      <c r="N16" s="4">
        <v>0</v>
      </c>
      <c r="O16" s="4">
        <v>0</v>
      </c>
      <c r="P16" s="4">
        <v>0</v>
      </c>
      <c r="Q16" s="4">
        <v>0</v>
      </c>
      <c r="R16" s="4">
        <v>0</v>
      </c>
      <c r="S16" s="4">
        <v>0</v>
      </c>
      <c r="AC16" s="4" t="str">
        <f t="shared" ref="AC16:AD35" si="7">IF(OR(AC$14="",$E16=""),"",AB16)</f>
        <v/>
      </c>
      <c r="AD16" s="4" t="str">
        <f t="shared" si="7"/>
        <v/>
      </c>
    </row>
    <row r="17" spans="1:30" x14ac:dyDescent="0.25">
      <c r="A17" s="73" t="s">
        <v>43</v>
      </c>
      <c r="B17" s="4">
        <v>10</v>
      </c>
      <c r="C17" s="73" t="s">
        <v>135</v>
      </c>
      <c r="D17" t="str">
        <f t="shared" si="5"/>
        <v>Planned</v>
      </c>
      <c r="E17" s="4">
        <v>8</v>
      </c>
      <c r="F17" s="4">
        <f t="shared" si="6"/>
        <v>8</v>
      </c>
      <c r="G17" s="4">
        <v>8</v>
      </c>
      <c r="H17" s="4">
        <v>8</v>
      </c>
      <c r="I17" s="4">
        <v>5</v>
      </c>
      <c r="J17" s="4">
        <v>4</v>
      </c>
      <c r="K17" s="4">
        <v>2</v>
      </c>
      <c r="L17" s="4">
        <v>1</v>
      </c>
      <c r="M17" s="4">
        <v>0</v>
      </c>
      <c r="N17" s="4">
        <v>0</v>
      </c>
      <c r="O17" s="4">
        <v>0</v>
      </c>
      <c r="P17" s="4">
        <v>0</v>
      </c>
      <c r="Q17" s="4">
        <v>0</v>
      </c>
      <c r="R17" s="4">
        <v>0</v>
      </c>
      <c r="S17" s="4">
        <v>0</v>
      </c>
      <c r="AC17" s="4" t="str">
        <f t="shared" si="7"/>
        <v/>
      </c>
      <c r="AD17" s="4" t="str">
        <f t="shared" si="7"/>
        <v/>
      </c>
    </row>
    <row r="18" spans="1:30" x14ac:dyDescent="0.25">
      <c r="A18" s="73" t="s">
        <v>47</v>
      </c>
      <c r="B18" s="4">
        <v>12</v>
      </c>
      <c r="C18" s="73" t="s">
        <v>130</v>
      </c>
      <c r="D18" t="str">
        <f t="shared" si="5"/>
        <v>Planned</v>
      </c>
      <c r="E18" s="4">
        <v>3</v>
      </c>
      <c r="F18" s="4">
        <f t="shared" si="6"/>
        <v>3</v>
      </c>
      <c r="G18" s="4">
        <v>3</v>
      </c>
      <c r="H18" s="4">
        <v>3</v>
      </c>
      <c r="I18" s="4">
        <v>3</v>
      </c>
      <c r="J18" s="4">
        <v>3</v>
      </c>
      <c r="K18" s="4">
        <v>2</v>
      </c>
      <c r="L18" s="4">
        <v>1</v>
      </c>
      <c r="M18" s="4">
        <v>0</v>
      </c>
      <c r="N18" s="4">
        <v>0</v>
      </c>
      <c r="O18" s="4">
        <v>0</v>
      </c>
      <c r="P18" s="4">
        <v>0</v>
      </c>
      <c r="Q18" s="4">
        <v>0</v>
      </c>
      <c r="R18" s="4">
        <v>0</v>
      </c>
      <c r="S18" s="4">
        <v>0</v>
      </c>
      <c r="AC18" s="4" t="str">
        <f t="shared" si="7"/>
        <v/>
      </c>
      <c r="AD18" s="4" t="str">
        <f t="shared" si="7"/>
        <v/>
      </c>
    </row>
    <row r="19" spans="1:30" x14ac:dyDescent="0.25">
      <c r="A19" s="73" t="s">
        <v>136</v>
      </c>
      <c r="B19" s="4">
        <v>14</v>
      </c>
      <c r="C19" s="73" t="s">
        <v>125</v>
      </c>
      <c r="D19" t="str">
        <f t="shared" si="5"/>
        <v>Planned</v>
      </c>
      <c r="E19" s="4">
        <v>5</v>
      </c>
      <c r="F19" s="4">
        <f t="shared" si="6"/>
        <v>5</v>
      </c>
      <c r="G19" s="4">
        <v>4</v>
      </c>
      <c r="H19" s="4">
        <v>4</v>
      </c>
      <c r="I19" s="4">
        <v>4</v>
      </c>
      <c r="J19" s="4">
        <v>4</v>
      </c>
      <c r="K19" s="4">
        <v>3</v>
      </c>
      <c r="L19" s="4">
        <v>2</v>
      </c>
      <c r="M19" s="4">
        <v>1</v>
      </c>
      <c r="N19" s="4">
        <v>0</v>
      </c>
      <c r="O19" s="4">
        <v>0</v>
      </c>
      <c r="P19" s="4">
        <v>0</v>
      </c>
      <c r="Q19" s="4">
        <v>0</v>
      </c>
      <c r="R19" s="4">
        <v>0</v>
      </c>
      <c r="S19" s="4">
        <v>0</v>
      </c>
      <c r="AC19" s="4" t="str">
        <f t="shared" si="7"/>
        <v/>
      </c>
      <c r="AD19" s="4" t="str">
        <f t="shared" si="7"/>
        <v/>
      </c>
    </row>
    <row r="20" spans="1:30" x14ac:dyDescent="0.25">
      <c r="A20" s="73" t="s">
        <v>53</v>
      </c>
      <c r="B20" s="4">
        <v>15</v>
      </c>
      <c r="C20" s="73" t="s">
        <v>137</v>
      </c>
      <c r="D20" t="str">
        <f t="shared" si="5"/>
        <v>Planned</v>
      </c>
      <c r="E20" s="4">
        <v>4</v>
      </c>
      <c r="F20" s="4">
        <f t="shared" si="6"/>
        <v>4</v>
      </c>
      <c r="G20" s="4">
        <v>4</v>
      </c>
      <c r="H20" s="4">
        <v>4</v>
      </c>
      <c r="I20" s="4">
        <v>4</v>
      </c>
      <c r="J20" s="4">
        <v>2</v>
      </c>
      <c r="K20" s="4">
        <v>2</v>
      </c>
      <c r="L20" s="4">
        <v>0</v>
      </c>
      <c r="M20" s="4">
        <v>0</v>
      </c>
      <c r="N20" s="4">
        <v>0</v>
      </c>
      <c r="O20" s="4">
        <v>0</v>
      </c>
      <c r="P20" s="4">
        <v>0</v>
      </c>
      <c r="Q20" s="4">
        <v>0</v>
      </c>
      <c r="R20" s="4">
        <v>0</v>
      </c>
      <c r="S20" s="4">
        <v>0</v>
      </c>
      <c r="AC20" s="4" t="str">
        <f t="shared" si="7"/>
        <v/>
      </c>
      <c r="AD20" s="4" t="str">
        <f t="shared" si="7"/>
        <v/>
      </c>
    </row>
    <row r="21" spans="1:30" x14ac:dyDescent="0.25">
      <c r="A21" s="73" t="s">
        <v>55</v>
      </c>
      <c r="B21" s="4">
        <v>16</v>
      </c>
      <c r="C21" s="73" t="s">
        <v>130</v>
      </c>
      <c r="D21" t="str">
        <f t="shared" si="5"/>
        <v>Planned</v>
      </c>
      <c r="E21" s="4">
        <v>4</v>
      </c>
      <c r="F21" s="4">
        <f t="shared" si="6"/>
        <v>4</v>
      </c>
      <c r="G21" s="4">
        <v>4</v>
      </c>
      <c r="H21" s="4">
        <v>4</v>
      </c>
      <c r="I21" s="4">
        <v>4</v>
      </c>
      <c r="J21" s="4">
        <v>4</v>
      </c>
      <c r="K21" s="4">
        <v>2</v>
      </c>
      <c r="L21" s="4">
        <v>2</v>
      </c>
      <c r="M21" s="4">
        <v>0</v>
      </c>
      <c r="N21" s="4">
        <v>0</v>
      </c>
      <c r="O21" s="4">
        <v>0</v>
      </c>
      <c r="P21" s="4">
        <v>0</v>
      </c>
      <c r="Q21" s="4">
        <v>0</v>
      </c>
      <c r="R21" s="4">
        <v>0</v>
      </c>
      <c r="S21" s="4">
        <v>0</v>
      </c>
      <c r="AC21" s="4" t="str">
        <f t="shared" si="7"/>
        <v/>
      </c>
      <c r="AD21" s="4" t="str">
        <f t="shared" si="7"/>
        <v/>
      </c>
    </row>
    <row r="22" spans="1:30" x14ac:dyDescent="0.25">
      <c r="A22" s="73"/>
      <c r="C22" s="73"/>
      <c r="D22" t="str">
        <f t="shared" si="5"/>
        <v/>
      </c>
      <c r="F22" s="4" t="str">
        <f t="shared" si="6"/>
        <v/>
      </c>
      <c r="AC22" s="4" t="str">
        <f t="shared" si="7"/>
        <v/>
      </c>
      <c r="AD22" s="4" t="str">
        <f t="shared" si="7"/>
        <v/>
      </c>
    </row>
    <row r="23" spans="1:30" x14ac:dyDescent="0.25">
      <c r="A23" s="73"/>
      <c r="C23" s="73"/>
      <c r="D23" t="str">
        <f t="shared" si="5"/>
        <v/>
      </c>
      <c r="F23" s="4" t="str">
        <f t="shared" si="6"/>
        <v/>
      </c>
      <c r="AC23" s="4" t="str">
        <f t="shared" si="7"/>
        <v/>
      </c>
      <c r="AD23" s="4" t="str">
        <f t="shared" si="7"/>
        <v/>
      </c>
    </row>
    <row r="24" spans="1:30" x14ac:dyDescent="0.25">
      <c r="A24" s="73"/>
      <c r="C24" s="73"/>
      <c r="D24" t="str">
        <f t="shared" si="5"/>
        <v/>
      </c>
      <c r="F24" s="4" t="str">
        <f t="shared" si="6"/>
        <v/>
      </c>
      <c r="AC24" s="4" t="str">
        <f t="shared" si="7"/>
        <v/>
      </c>
      <c r="AD24" s="4" t="str">
        <f t="shared" si="7"/>
        <v/>
      </c>
    </row>
    <row r="25" spans="1:30" x14ac:dyDescent="0.25">
      <c r="A25" s="73"/>
      <c r="C25" s="73"/>
      <c r="D25" t="str">
        <f t="shared" si="5"/>
        <v/>
      </c>
      <c r="F25" s="4" t="str">
        <f t="shared" si="6"/>
        <v/>
      </c>
      <c r="AC25" s="4" t="str">
        <f t="shared" si="7"/>
        <v/>
      </c>
      <c r="AD25" s="4" t="str">
        <f t="shared" si="7"/>
        <v/>
      </c>
    </row>
    <row r="26" spans="1:30" x14ac:dyDescent="0.25">
      <c r="A26" s="73"/>
      <c r="C26" s="73"/>
      <c r="D26" t="str">
        <f t="shared" si="5"/>
        <v/>
      </c>
      <c r="F26" s="4" t="str">
        <f t="shared" si="6"/>
        <v/>
      </c>
      <c r="AC26" s="4" t="str">
        <f t="shared" si="7"/>
        <v/>
      </c>
      <c r="AD26" s="4" t="str">
        <f t="shared" si="7"/>
        <v/>
      </c>
    </row>
    <row r="27" spans="1:30" x14ac:dyDescent="0.25">
      <c r="A27" s="73"/>
      <c r="C27" s="73"/>
      <c r="D27" t="str">
        <f t="shared" si="5"/>
        <v/>
      </c>
      <c r="F27" s="4" t="str">
        <f t="shared" si="6"/>
        <v/>
      </c>
      <c r="AC27" s="4" t="str">
        <f t="shared" si="7"/>
        <v/>
      </c>
      <c r="AD27" s="4" t="str">
        <f t="shared" si="7"/>
        <v/>
      </c>
    </row>
    <row r="28" spans="1:30" x14ac:dyDescent="0.25">
      <c r="A28" s="73"/>
      <c r="C28" s="73"/>
      <c r="D28" t="str">
        <f t="shared" si="5"/>
        <v/>
      </c>
      <c r="F28" s="4" t="str">
        <f t="shared" si="6"/>
        <v/>
      </c>
      <c r="AC28" s="4" t="str">
        <f t="shared" si="7"/>
        <v/>
      </c>
      <c r="AD28" s="4" t="str">
        <f t="shared" si="7"/>
        <v/>
      </c>
    </row>
    <row r="29" spans="1:30" x14ac:dyDescent="0.25">
      <c r="A29" s="73"/>
      <c r="C29" s="73"/>
      <c r="D29" t="str">
        <f t="shared" si="5"/>
        <v/>
      </c>
      <c r="F29" s="4" t="str">
        <f t="shared" si="6"/>
        <v/>
      </c>
      <c r="AC29" s="4" t="str">
        <f t="shared" si="7"/>
        <v/>
      </c>
      <c r="AD29" s="4" t="str">
        <f t="shared" si="7"/>
        <v/>
      </c>
    </row>
    <row r="30" spans="1:30" x14ac:dyDescent="0.25">
      <c r="A30" s="73"/>
      <c r="C30" s="73"/>
      <c r="D30" t="str">
        <f t="shared" si="5"/>
        <v/>
      </c>
      <c r="F30" s="4" t="str">
        <f t="shared" si="6"/>
        <v/>
      </c>
      <c r="AC30" s="4" t="str">
        <f t="shared" si="7"/>
        <v/>
      </c>
      <c r="AD30" s="4" t="str">
        <f t="shared" si="7"/>
        <v/>
      </c>
    </row>
    <row r="31" spans="1:30" x14ac:dyDescent="0.25">
      <c r="A31" s="73"/>
      <c r="C31" s="73"/>
      <c r="D31" t="str">
        <f t="shared" si="5"/>
        <v/>
      </c>
      <c r="F31" s="4" t="str">
        <f t="shared" si="6"/>
        <v/>
      </c>
      <c r="AC31" s="4" t="str">
        <f t="shared" si="7"/>
        <v/>
      </c>
      <c r="AD31" s="4" t="str">
        <f t="shared" si="7"/>
        <v/>
      </c>
    </row>
    <row r="32" spans="1:30" x14ac:dyDescent="0.25">
      <c r="A32" s="73"/>
      <c r="C32" s="73"/>
      <c r="D32" t="str">
        <f t="shared" si="5"/>
        <v/>
      </c>
      <c r="F32" s="4" t="str">
        <f t="shared" si="6"/>
        <v/>
      </c>
      <c r="AC32" s="4" t="str">
        <f t="shared" si="7"/>
        <v/>
      </c>
      <c r="AD32" s="4" t="str">
        <f t="shared" si="7"/>
        <v/>
      </c>
    </row>
    <row r="33" spans="1:30" x14ac:dyDescent="0.25">
      <c r="A33" s="73"/>
      <c r="C33" s="73"/>
      <c r="D33" t="str">
        <f t="shared" si="5"/>
        <v/>
      </c>
      <c r="F33" s="4" t="str">
        <f t="shared" si="6"/>
        <v/>
      </c>
      <c r="AC33" s="4" t="str">
        <f t="shared" si="7"/>
        <v/>
      </c>
      <c r="AD33" s="4" t="str">
        <f t="shared" si="7"/>
        <v/>
      </c>
    </row>
    <row r="34" spans="1:30" x14ac:dyDescent="0.25">
      <c r="A34" s="73"/>
      <c r="C34" s="73"/>
      <c r="D34" t="str">
        <f t="shared" si="5"/>
        <v/>
      </c>
      <c r="F34" s="4" t="str">
        <f t="shared" si="6"/>
        <v/>
      </c>
      <c r="AC34" s="4" t="str">
        <f t="shared" si="7"/>
        <v/>
      </c>
      <c r="AD34" s="4" t="str">
        <f t="shared" si="7"/>
        <v/>
      </c>
    </row>
    <row r="35" spans="1:30" x14ac:dyDescent="0.25">
      <c r="A35" s="73"/>
      <c r="C35" s="73"/>
      <c r="D35" t="str">
        <f t="shared" si="5"/>
        <v/>
      </c>
      <c r="F35" s="4" t="str">
        <f t="shared" si="6"/>
        <v/>
      </c>
      <c r="AC35" s="4" t="str">
        <f t="shared" si="7"/>
        <v/>
      </c>
      <c r="AD35" s="4" t="str">
        <f t="shared" si="7"/>
        <v/>
      </c>
    </row>
    <row r="36" spans="1:30" x14ac:dyDescent="0.25">
      <c r="A36" s="73"/>
      <c r="C36" s="73"/>
      <c r="D36" t="str">
        <f t="shared" si="5"/>
        <v/>
      </c>
      <c r="F36" s="4" t="str">
        <f t="shared" si="6"/>
        <v/>
      </c>
      <c r="AC36" s="4" t="str">
        <f t="shared" ref="AC36:AD55" si="8">IF(OR(AC$14="",$E36=""),"",AB36)</f>
        <v/>
      </c>
      <c r="AD36" s="4" t="str">
        <f t="shared" si="8"/>
        <v/>
      </c>
    </row>
    <row r="37" spans="1:30" x14ac:dyDescent="0.25">
      <c r="A37" s="73"/>
      <c r="C37" s="73"/>
      <c r="D37" t="str">
        <f t="shared" si="5"/>
        <v/>
      </c>
      <c r="F37" s="4" t="str">
        <f t="shared" si="6"/>
        <v/>
      </c>
      <c r="AC37" s="4" t="str">
        <f t="shared" si="8"/>
        <v/>
      </c>
      <c r="AD37" s="4" t="str">
        <f t="shared" si="8"/>
        <v/>
      </c>
    </row>
    <row r="38" spans="1:30" x14ac:dyDescent="0.25">
      <c r="A38" s="73"/>
      <c r="C38" s="73"/>
      <c r="D38" t="str">
        <f t="shared" si="5"/>
        <v/>
      </c>
      <c r="F38" s="4" t="str">
        <f t="shared" si="6"/>
        <v/>
      </c>
      <c r="AC38" s="4" t="str">
        <f t="shared" si="8"/>
        <v/>
      </c>
      <c r="AD38" s="4" t="str">
        <f t="shared" si="8"/>
        <v/>
      </c>
    </row>
    <row r="39" spans="1:30" x14ac:dyDescent="0.25">
      <c r="A39" s="73"/>
      <c r="C39" s="73"/>
      <c r="D39" t="str">
        <f t="shared" si="5"/>
        <v/>
      </c>
      <c r="F39" s="4" t="str">
        <f t="shared" si="6"/>
        <v/>
      </c>
      <c r="AC39" s="4" t="str">
        <f t="shared" si="8"/>
        <v/>
      </c>
      <c r="AD39" s="4" t="str">
        <f t="shared" si="8"/>
        <v/>
      </c>
    </row>
    <row r="40" spans="1:30" x14ac:dyDescent="0.25">
      <c r="A40" s="73"/>
      <c r="C40" s="73"/>
      <c r="D40" t="str">
        <f t="shared" si="5"/>
        <v/>
      </c>
      <c r="F40" s="4" t="str">
        <f t="shared" si="6"/>
        <v/>
      </c>
      <c r="AC40" s="4" t="str">
        <f t="shared" si="8"/>
        <v/>
      </c>
      <c r="AD40" s="4" t="str">
        <f t="shared" si="8"/>
        <v/>
      </c>
    </row>
    <row r="41" spans="1:30" x14ac:dyDescent="0.25">
      <c r="A41" s="73"/>
      <c r="C41" s="73"/>
      <c r="D41" t="str">
        <f t="shared" si="5"/>
        <v/>
      </c>
      <c r="F41" s="4" t="str">
        <f t="shared" si="6"/>
        <v/>
      </c>
      <c r="AC41" s="4" t="str">
        <f t="shared" si="8"/>
        <v/>
      </c>
      <c r="AD41" s="4" t="str">
        <f t="shared" si="8"/>
        <v/>
      </c>
    </row>
    <row r="42" spans="1:30" x14ac:dyDescent="0.25">
      <c r="A42" s="73"/>
      <c r="C42" s="73"/>
      <c r="D42" t="str">
        <f t="shared" si="5"/>
        <v/>
      </c>
      <c r="F42" s="4" t="str">
        <f t="shared" si="6"/>
        <v/>
      </c>
      <c r="AC42" s="4" t="str">
        <f t="shared" si="8"/>
        <v/>
      </c>
      <c r="AD42" s="4" t="str">
        <f t="shared" si="8"/>
        <v/>
      </c>
    </row>
    <row r="43" spans="1:30" x14ac:dyDescent="0.25">
      <c r="A43" s="73"/>
      <c r="C43" s="73"/>
      <c r="D43" t="str">
        <f t="shared" si="5"/>
        <v/>
      </c>
      <c r="F43" s="4" t="str">
        <f t="shared" si="6"/>
        <v/>
      </c>
      <c r="AC43" s="4" t="str">
        <f t="shared" si="8"/>
        <v/>
      </c>
      <c r="AD43" s="4" t="str">
        <f t="shared" si="8"/>
        <v/>
      </c>
    </row>
    <row r="44" spans="1:30" x14ac:dyDescent="0.25">
      <c r="A44" s="73"/>
      <c r="C44" s="73"/>
      <c r="D44" t="str">
        <f t="shared" si="5"/>
        <v/>
      </c>
      <c r="F44" s="4" t="str">
        <f t="shared" si="6"/>
        <v/>
      </c>
      <c r="AC44" s="4" t="str">
        <f t="shared" si="8"/>
        <v/>
      </c>
      <c r="AD44" s="4" t="str">
        <f t="shared" si="8"/>
        <v/>
      </c>
    </row>
    <row r="45" spans="1:30" x14ac:dyDescent="0.25">
      <c r="A45" s="73"/>
      <c r="C45" s="73"/>
      <c r="D45" t="str">
        <f t="shared" si="5"/>
        <v/>
      </c>
      <c r="F45" s="4" t="str">
        <f t="shared" si="6"/>
        <v/>
      </c>
      <c r="AC45" s="4" t="str">
        <f t="shared" si="8"/>
        <v/>
      </c>
      <c r="AD45" s="4" t="str">
        <f t="shared" si="8"/>
        <v/>
      </c>
    </row>
    <row r="46" spans="1:30" x14ac:dyDescent="0.25">
      <c r="A46" s="73"/>
      <c r="C46" s="73"/>
      <c r="D46" t="str">
        <f t="shared" si="5"/>
        <v/>
      </c>
      <c r="F46" s="4" t="str">
        <f t="shared" si="6"/>
        <v/>
      </c>
      <c r="AC46" s="4" t="str">
        <f t="shared" si="8"/>
        <v/>
      </c>
      <c r="AD46" s="4" t="str">
        <f t="shared" si="8"/>
        <v/>
      </c>
    </row>
    <row r="47" spans="1:30" x14ac:dyDescent="0.25">
      <c r="A47" s="73"/>
      <c r="C47" s="73"/>
      <c r="D47" t="str">
        <f t="shared" si="5"/>
        <v/>
      </c>
      <c r="F47" s="4" t="str">
        <f t="shared" si="6"/>
        <v/>
      </c>
      <c r="AC47" s="4" t="str">
        <f t="shared" si="8"/>
        <v/>
      </c>
      <c r="AD47" s="4" t="str">
        <f t="shared" si="8"/>
        <v/>
      </c>
    </row>
    <row r="48" spans="1:30" x14ac:dyDescent="0.25">
      <c r="A48" s="73"/>
      <c r="C48" s="73"/>
      <c r="D48" t="str">
        <f t="shared" si="5"/>
        <v/>
      </c>
      <c r="F48" s="4" t="str">
        <f t="shared" si="6"/>
        <v/>
      </c>
      <c r="AC48" s="4" t="str">
        <f t="shared" si="8"/>
        <v/>
      </c>
      <c r="AD48" s="4" t="str">
        <f t="shared" si="8"/>
        <v/>
      </c>
    </row>
    <row r="49" spans="1:30" x14ac:dyDescent="0.25">
      <c r="A49" s="73"/>
      <c r="C49" s="73"/>
      <c r="D49" t="str">
        <f t="shared" si="5"/>
        <v/>
      </c>
      <c r="F49" s="4" t="str">
        <f t="shared" si="6"/>
        <v/>
      </c>
      <c r="AC49" s="4" t="str">
        <f t="shared" si="8"/>
        <v/>
      </c>
      <c r="AD49" s="4" t="str">
        <f t="shared" si="8"/>
        <v/>
      </c>
    </row>
    <row r="50" spans="1:30" x14ac:dyDescent="0.25">
      <c r="A50" s="73"/>
      <c r="C50" s="73"/>
      <c r="D50" t="str">
        <f t="shared" si="5"/>
        <v/>
      </c>
      <c r="F50" s="4" t="str">
        <f t="shared" si="6"/>
        <v/>
      </c>
      <c r="AC50" s="4" t="str">
        <f t="shared" si="8"/>
        <v/>
      </c>
      <c r="AD50" s="4" t="str">
        <f t="shared" si="8"/>
        <v/>
      </c>
    </row>
    <row r="51" spans="1:30" x14ac:dyDescent="0.25">
      <c r="A51" s="73"/>
      <c r="C51" s="73"/>
      <c r="D51" t="str">
        <f t="shared" si="5"/>
        <v/>
      </c>
      <c r="F51" s="4" t="str">
        <f t="shared" si="6"/>
        <v/>
      </c>
      <c r="AC51" s="4" t="str">
        <f t="shared" si="8"/>
        <v/>
      </c>
      <c r="AD51" s="4" t="str">
        <f t="shared" si="8"/>
        <v/>
      </c>
    </row>
    <row r="52" spans="1:30" x14ac:dyDescent="0.25">
      <c r="A52" s="73"/>
      <c r="C52" s="73"/>
      <c r="D52" t="str">
        <f t="shared" si="5"/>
        <v/>
      </c>
      <c r="F52" s="4" t="str">
        <f t="shared" si="6"/>
        <v/>
      </c>
      <c r="AC52" s="4" t="str">
        <f t="shared" si="8"/>
        <v/>
      </c>
      <c r="AD52" s="4" t="str">
        <f t="shared" si="8"/>
        <v/>
      </c>
    </row>
    <row r="53" spans="1:30" x14ac:dyDescent="0.25">
      <c r="A53" s="73"/>
      <c r="C53" s="73"/>
      <c r="D53" t="str">
        <f t="shared" si="5"/>
        <v/>
      </c>
      <c r="F53" s="4" t="str">
        <f t="shared" si="6"/>
        <v/>
      </c>
      <c r="AC53" s="4" t="str">
        <f t="shared" si="8"/>
        <v/>
      </c>
      <c r="AD53" s="4" t="str">
        <f t="shared" si="8"/>
        <v/>
      </c>
    </row>
    <row r="54" spans="1:30" x14ac:dyDescent="0.25">
      <c r="A54" s="73"/>
      <c r="C54" s="73"/>
      <c r="D54" t="str">
        <f t="shared" si="5"/>
        <v/>
      </c>
      <c r="F54" s="4" t="str">
        <f t="shared" si="6"/>
        <v/>
      </c>
      <c r="AC54" s="4" t="str">
        <f t="shared" si="8"/>
        <v/>
      </c>
      <c r="AD54" s="4" t="str">
        <f t="shared" si="8"/>
        <v/>
      </c>
    </row>
    <row r="55" spans="1:30" x14ac:dyDescent="0.25">
      <c r="A55" s="73"/>
      <c r="C55" s="73"/>
      <c r="D55" t="str">
        <f t="shared" si="5"/>
        <v/>
      </c>
      <c r="F55" s="4" t="str">
        <f t="shared" si="6"/>
        <v/>
      </c>
      <c r="AC55" s="4" t="str">
        <f t="shared" si="8"/>
        <v/>
      </c>
      <c r="AD55" s="4" t="str">
        <f t="shared" si="8"/>
        <v/>
      </c>
    </row>
    <row r="56" spans="1:30" x14ac:dyDescent="0.25">
      <c r="A56" s="73"/>
      <c r="C56" s="73"/>
      <c r="D56" t="str">
        <f t="shared" si="5"/>
        <v/>
      </c>
      <c r="F56" s="4" t="str">
        <f t="shared" si="6"/>
        <v/>
      </c>
      <c r="AC56" s="4" t="str">
        <f t="shared" ref="AC56:AD75" si="9">IF(OR(AC$14="",$E56=""),"",AB56)</f>
        <v/>
      </c>
      <c r="AD56" s="4" t="str">
        <f t="shared" si="9"/>
        <v/>
      </c>
    </row>
    <row r="57" spans="1:30" x14ac:dyDescent="0.25">
      <c r="A57" s="73"/>
      <c r="C57" s="73"/>
      <c r="D57" t="str">
        <f t="shared" si="5"/>
        <v/>
      </c>
      <c r="F57" s="4" t="str">
        <f t="shared" si="6"/>
        <v/>
      </c>
      <c r="AC57" s="4" t="str">
        <f t="shared" si="9"/>
        <v/>
      </c>
      <c r="AD57" s="4" t="str">
        <f t="shared" si="9"/>
        <v/>
      </c>
    </row>
    <row r="58" spans="1:30" x14ac:dyDescent="0.25">
      <c r="A58" s="73"/>
      <c r="C58" s="73"/>
      <c r="D58" t="str">
        <f t="shared" si="5"/>
        <v/>
      </c>
      <c r="F58" s="4" t="str">
        <f t="shared" si="6"/>
        <v/>
      </c>
      <c r="G58" s="4" t="str">
        <f t="shared" ref="G58:AB58" si="10">IF(OR(G$14="",$E58=""),"",F58)</f>
        <v/>
      </c>
      <c r="H58" s="4" t="str">
        <f t="shared" si="10"/>
        <v/>
      </c>
      <c r="I58" s="4" t="str">
        <f t="shared" si="10"/>
        <v/>
      </c>
      <c r="J58" s="4" t="str">
        <f t="shared" si="10"/>
        <v/>
      </c>
      <c r="K58" s="4" t="str">
        <f t="shared" si="10"/>
        <v/>
      </c>
      <c r="L58" s="4" t="str">
        <f t="shared" si="10"/>
        <v/>
      </c>
      <c r="M58" s="4" t="str">
        <f t="shared" si="10"/>
        <v/>
      </c>
      <c r="N58" s="4" t="str">
        <f t="shared" si="10"/>
        <v/>
      </c>
      <c r="O58" s="4" t="str">
        <f t="shared" si="10"/>
        <v/>
      </c>
      <c r="P58" s="4" t="str">
        <f t="shared" si="10"/>
        <v/>
      </c>
      <c r="Q58" s="4" t="str">
        <f t="shared" si="10"/>
        <v/>
      </c>
      <c r="R58" s="4" t="str">
        <f t="shared" si="10"/>
        <v/>
      </c>
      <c r="S58" s="4" t="str">
        <f t="shared" si="10"/>
        <v/>
      </c>
      <c r="T58" s="4" t="str">
        <f t="shared" si="10"/>
        <v/>
      </c>
      <c r="U58" s="4" t="str">
        <f t="shared" si="10"/>
        <v/>
      </c>
      <c r="V58" s="4" t="str">
        <f t="shared" si="10"/>
        <v/>
      </c>
      <c r="W58" s="4" t="str">
        <f t="shared" si="10"/>
        <v/>
      </c>
      <c r="X58" s="4" t="str">
        <f t="shared" si="10"/>
        <v/>
      </c>
      <c r="Y58" s="4" t="str">
        <f t="shared" si="10"/>
        <v/>
      </c>
      <c r="Z58" s="4" t="str">
        <f t="shared" si="10"/>
        <v/>
      </c>
      <c r="AA58" s="4" t="str">
        <f t="shared" si="10"/>
        <v/>
      </c>
      <c r="AB58" s="4" t="str">
        <f t="shared" si="10"/>
        <v/>
      </c>
      <c r="AC58" s="4" t="str">
        <f t="shared" si="9"/>
        <v/>
      </c>
      <c r="AD58" s="4" t="str">
        <f t="shared" si="9"/>
        <v/>
      </c>
    </row>
    <row r="59" spans="1:30" x14ac:dyDescent="0.25">
      <c r="D59" t="str">
        <f t="shared" si="5"/>
        <v/>
      </c>
      <c r="F59" s="4" t="str">
        <f t="shared" si="6"/>
        <v/>
      </c>
      <c r="G59" s="4" t="str">
        <f t="shared" ref="G59:AB59" si="11">IF(OR(G$14="",$E59=""),"",F59)</f>
        <v/>
      </c>
      <c r="H59" s="4" t="str">
        <f t="shared" si="11"/>
        <v/>
      </c>
      <c r="I59" s="4" t="str">
        <f t="shared" si="11"/>
        <v/>
      </c>
      <c r="J59" s="4" t="str">
        <f t="shared" si="11"/>
        <v/>
      </c>
      <c r="K59" s="4" t="str">
        <f t="shared" si="11"/>
        <v/>
      </c>
      <c r="L59" s="4" t="str">
        <f t="shared" si="11"/>
        <v/>
      </c>
      <c r="M59" s="4" t="str">
        <f t="shared" si="11"/>
        <v/>
      </c>
      <c r="N59" s="4" t="str">
        <f t="shared" si="11"/>
        <v/>
      </c>
      <c r="O59" s="4" t="str">
        <f t="shared" si="11"/>
        <v/>
      </c>
      <c r="P59" s="4" t="str">
        <f t="shared" si="11"/>
        <v/>
      </c>
      <c r="Q59" s="4" t="str">
        <f t="shared" si="11"/>
        <v/>
      </c>
      <c r="R59" s="4" t="str">
        <f t="shared" si="11"/>
        <v/>
      </c>
      <c r="S59" s="4" t="str">
        <f t="shared" si="11"/>
        <v/>
      </c>
      <c r="T59" s="4" t="str">
        <f t="shared" si="11"/>
        <v/>
      </c>
      <c r="U59" s="4" t="str">
        <f t="shared" si="11"/>
        <v/>
      </c>
      <c r="V59" s="4" t="str">
        <f t="shared" si="11"/>
        <v/>
      </c>
      <c r="W59" s="4" t="str">
        <f t="shared" si="11"/>
        <v/>
      </c>
      <c r="X59" s="4" t="str">
        <f t="shared" si="11"/>
        <v/>
      </c>
      <c r="Y59" s="4" t="str">
        <f t="shared" si="11"/>
        <v/>
      </c>
      <c r="Z59" s="4" t="str">
        <f t="shared" si="11"/>
        <v/>
      </c>
      <c r="AA59" s="4" t="str">
        <f t="shared" si="11"/>
        <v/>
      </c>
      <c r="AB59" s="4" t="str">
        <f t="shared" si="11"/>
        <v/>
      </c>
      <c r="AC59" s="4" t="str">
        <f t="shared" si="9"/>
        <v/>
      </c>
      <c r="AD59" s="4" t="str">
        <f t="shared" si="9"/>
        <v/>
      </c>
    </row>
    <row r="64" spans="1:30" x14ac:dyDescent="0.25">
      <c r="D64" t="str">
        <f>IF(A64&lt;&gt;"","Planned","")</f>
        <v/>
      </c>
    </row>
  </sheetData>
  <conditionalFormatting sqref="G19:AD58 J15:AD18 A19:F19 A21:F58">
    <cfRule type="expression" dxfId="5" priority="2">
      <formula>$D11="Done"</formula>
    </cfRule>
    <cfRule type="expression" dxfId="4" priority="3">
      <formula>$D11="Ongoing"</formula>
    </cfRule>
  </conditionalFormatting>
  <conditionalFormatting sqref="A15:I18">
    <cfRule type="expression" dxfId="3" priority="4">
      <formula>$D15="Done"</formula>
    </cfRule>
    <cfRule type="expression" dxfId="2" priority="5">
      <formula>$D15="Ongoing"</formula>
    </cfRule>
  </conditionalFormatting>
  <conditionalFormatting sqref="A20:F20">
    <cfRule type="expression" dxfId="1" priority="6">
      <formula>$D16="Done"</formula>
    </cfRule>
    <cfRule type="expression" dxfId="0" priority="7">
      <formula>$D16="Ongoing"</formula>
    </cfRule>
  </conditionalFormatting>
  <dataValidations count="1">
    <dataValidation type="list" allowBlank="1" sqref="D3:D8 D15:D64" xr:uid="{00000000-0002-0000-04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AMK30"/>
  <sheetViews>
    <sheetView zoomScaleNormal="100" workbookViewId="0"/>
  </sheetViews>
  <sheetFormatPr defaultRowHeight="13.2" x14ac:dyDescent="0.25"/>
  <cols>
    <col min="1" max="3" width="9.109375" style="46" customWidth="1"/>
    <col min="4" max="4" width="32.6640625" style="46" customWidth="1"/>
    <col min="5" max="5" width="9.109375" style="46" customWidth="1"/>
    <col min="6" max="6" width="32.6640625" style="46" customWidth="1"/>
    <col min="7" max="1025" width="9.109375" style="46" customWidth="1"/>
  </cols>
  <sheetData>
    <row r="1" spans="1:6" x14ac:dyDescent="0.25">
      <c r="A1" s="83" t="s">
        <v>138</v>
      </c>
      <c r="B1" s="84">
        <v>1</v>
      </c>
      <c r="C1" s="85" t="s">
        <v>139</v>
      </c>
      <c r="D1" s="86" t="s">
        <v>140</v>
      </c>
      <c r="E1" s="86"/>
      <c r="F1" s="87"/>
    </row>
    <row r="2" spans="1:6" x14ac:dyDescent="0.25">
      <c r="A2" s="88" t="s">
        <v>141</v>
      </c>
      <c r="B2" s="89" t="s">
        <v>142</v>
      </c>
      <c r="C2" s="89"/>
      <c r="D2" s="89"/>
      <c r="E2" s="89"/>
      <c r="F2" s="90"/>
    </row>
    <row r="3" spans="1:6" x14ac:dyDescent="0.25">
      <c r="A3" s="91"/>
      <c r="B3" s="92"/>
      <c r="C3" s="92"/>
      <c r="D3" s="92"/>
      <c r="E3" s="92"/>
      <c r="F3" s="93"/>
    </row>
    <row r="4" spans="1:6" x14ac:dyDescent="0.25">
      <c r="A4" s="94"/>
      <c r="B4" s="95"/>
      <c r="C4" s="95"/>
      <c r="D4" s="95"/>
      <c r="E4" s="95"/>
      <c r="F4" s="96"/>
    </row>
    <row r="5" spans="1:6" x14ac:dyDescent="0.25">
      <c r="A5" s="97" t="str">
        <f>CONCATENATE("Responsible Person: ",'Sp1'!C15)</f>
        <v>Responsible Person: Julia McDowell &amp; Leon Hoogenraad</v>
      </c>
      <c r="B5" s="98"/>
      <c r="C5" s="98"/>
      <c r="D5" s="98"/>
      <c r="E5" s="98"/>
      <c r="F5" s="99"/>
    </row>
    <row r="6" spans="1:6" ht="26.4" x14ac:dyDescent="0.25">
      <c r="A6" s="100" t="s">
        <v>143</v>
      </c>
      <c r="B6" s="101">
        <v>5</v>
      </c>
      <c r="C6" s="102" t="s">
        <v>144</v>
      </c>
      <c r="D6" s="103"/>
      <c r="E6" s="102" t="s">
        <v>145</v>
      </c>
      <c r="F6" s="104"/>
    </row>
    <row r="9" spans="1:6" x14ac:dyDescent="0.25">
      <c r="A9" s="83" t="s">
        <v>138</v>
      </c>
      <c r="B9" s="84">
        <v>1</v>
      </c>
      <c r="C9" s="85" t="s">
        <v>139</v>
      </c>
      <c r="D9" s="86" t="s">
        <v>140</v>
      </c>
      <c r="E9" s="86"/>
      <c r="F9" s="87"/>
    </row>
    <row r="10" spans="1:6" x14ac:dyDescent="0.25">
      <c r="A10" s="88" t="s">
        <v>141</v>
      </c>
      <c r="B10" s="89" t="s">
        <v>146</v>
      </c>
      <c r="C10" s="89"/>
      <c r="D10" s="89"/>
      <c r="E10" s="89"/>
      <c r="F10" s="90"/>
    </row>
    <row r="11" spans="1:6" x14ac:dyDescent="0.25">
      <c r="A11" s="91"/>
      <c r="B11" s="92"/>
      <c r="C11" s="92"/>
      <c r="D11" s="92"/>
      <c r="E11" s="92"/>
      <c r="F11" s="93"/>
    </row>
    <row r="12" spans="1:6" x14ac:dyDescent="0.25">
      <c r="A12" s="94"/>
      <c r="B12" s="95"/>
      <c r="C12" s="95"/>
      <c r="D12" s="95"/>
      <c r="E12" s="95"/>
      <c r="F12" s="96"/>
    </row>
    <row r="13" spans="1:6" x14ac:dyDescent="0.25">
      <c r="A13" s="97" t="str">
        <f>CONCATENATE("Responsible Person: ",'Sp1'!C16)</f>
        <v>Responsible Person: Julia McDowell &amp; Carly Ryan</v>
      </c>
      <c r="B13" s="98"/>
      <c r="C13" s="98"/>
      <c r="D13" s="98"/>
      <c r="E13" s="98"/>
      <c r="F13" s="99"/>
    </row>
    <row r="14" spans="1:6" ht="26.4" x14ac:dyDescent="0.25">
      <c r="A14" s="100" t="s">
        <v>143</v>
      </c>
      <c r="B14" s="101">
        <v>7</v>
      </c>
      <c r="C14" s="102" t="s">
        <v>144</v>
      </c>
      <c r="D14" s="103"/>
      <c r="E14" s="102" t="s">
        <v>145</v>
      </c>
      <c r="F14" s="104"/>
    </row>
    <row r="17" spans="1:6" x14ac:dyDescent="0.25">
      <c r="A17" s="83" t="s">
        <v>138</v>
      </c>
      <c r="B17" s="84">
        <v>2</v>
      </c>
      <c r="C17" s="85" t="s">
        <v>139</v>
      </c>
      <c r="D17" s="86" t="s">
        <v>147</v>
      </c>
      <c r="E17" s="86"/>
      <c r="F17" s="87"/>
    </row>
    <row r="18" spans="1:6" x14ac:dyDescent="0.25">
      <c r="A18" s="88" t="s">
        <v>141</v>
      </c>
      <c r="B18" s="89" t="s">
        <v>148</v>
      </c>
      <c r="C18" s="89"/>
      <c r="D18" s="89"/>
      <c r="E18" s="89"/>
      <c r="F18" s="90"/>
    </row>
    <row r="19" spans="1:6" x14ac:dyDescent="0.25">
      <c r="A19" s="91"/>
      <c r="B19" s="92"/>
      <c r="C19" s="92"/>
      <c r="D19" s="92"/>
      <c r="E19" s="92"/>
      <c r="F19" s="93"/>
    </row>
    <row r="20" spans="1:6" x14ac:dyDescent="0.25">
      <c r="A20" s="94"/>
      <c r="B20" s="95"/>
      <c r="C20" s="95"/>
      <c r="D20" s="95"/>
      <c r="E20" s="95"/>
      <c r="F20" s="96"/>
    </row>
    <row r="21" spans="1:6" x14ac:dyDescent="0.25">
      <c r="A21" s="97" t="str">
        <f>CONCATENATE("Responsible Person: ",'Sp1'!C17)</f>
        <v>Responsible Person: Cedric Stephani &amp; Hugo Baird</v>
      </c>
      <c r="B21" s="98"/>
      <c r="C21" s="98"/>
      <c r="D21" s="98"/>
      <c r="E21" s="98"/>
      <c r="F21" s="99"/>
    </row>
    <row r="22" spans="1:6" ht="26.4" x14ac:dyDescent="0.25">
      <c r="A22" s="100" t="s">
        <v>143</v>
      </c>
      <c r="B22" s="101">
        <v>12</v>
      </c>
      <c r="C22" s="102" t="s">
        <v>144</v>
      </c>
      <c r="D22" s="103"/>
      <c r="E22" s="102" t="s">
        <v>145</v>
      </c>
      <c r="F22" s="104"/>
    </row>
    <row r="25" spans="1:6" x14ac:dyDescent="0.25">
      <c r="A25" s="83" t="s">
        <v>138</v>
      </c>
      <c r="B25" s="84">
        <v>2</v>
      </c>
      <c r="C25" s="85" t="s">
        <v>139</v>
      </c>
      <c r="D25" s="86" t="s">
        <v>147</v>
      </c>
      <c r="E25" s="86"/>
      <c r="F25" s="87"/>
    </row>
    <row r="26" spans="1:6" x14ac:dyDescent="0.25">
      <c r="A26" s="88" t="s">
        <v>141</v>
      </c>
      <c r="B26" s="89" t="s">
        <v>149</v>
      </c>
      <c r="C26" s="89"/>
      <c r="D26" s="89"/>
      <c r="E26" s="89"/>
      <c r="F26" s="90"/>
    </row>
    <row r="27" spans="1:6" x14ac:dyDescent="0.25">
      <c r="A27" s="91"/>
      <c r="B27" s="92"/>
      <c r="C27" s="92"/>
      <c r="D27" s="92"/>
      <c r="E27" s="92"/>
      <c r="F27" s="93"/>
    </row>
    <row r="28" spans="1:6" x14ac:dyDescent="0.25">
      <c r="A28" s="94"/>
      <c r="B28" s="95"/>
      <c r="C28" s="95"/>
      <c r="D28" s="95"/>
      <c r="E28" s="95"/>
      <c r="F28" s="96"/>
    </row>
    <row r="29" spans="1:6" x14ac:dyDescent="0.25">
      <c r="A29" s="97" t="str">
        <f>CONCATENATE("Responsible Person: ",'Sp1'!C18)</f>
        <v>Responsible Person: Leon Hoogenraad</v>
      </c>
      <c r="B29" s="98"/>
      <c r="C29" s="98"/>
      <c r="D29" s="98"/>
      <c r="E29" s="98"/>
      <c r="F29" s="99"/>
    </row>
    <row r="30" spans="1:6" ht="26.4" x14ac:dyDescent="0.25">
      <c r="A30" s="100" t="s">
        <v>143</v>
      </c>
      <c r="B30" s="101">
        <v>9</v>
      </c>
      <c r="C30" s="102" t="s">
        <v>144</v>
      </c>
      <c r="D30" s="103"/>
      <c r="E30" s="102" t="s">
        <v>145</v>
      </c>
      <c r="F30" s="104"/>
    </row>
  </sheetData>
  <pageMargins left="0.196527777777778" right="0.196527777777778" top="0.196527777777778" bottom="0.196527777777778" header="0.51180555555555496" footer="0.51180555555555496"/>
  <pageSetup paperSize="9" firstPageNumber="0" fitToHeight="10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7</TotalTime>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Release Plan</vt:lpstr>
      <vt:lpstr>Product Backlog</vt:lpstr>
      <vt:lpstr>PB Burndown</vt:lpstr>
      <vt:lpstr>Sp1</vt:lpstr>
      <vt:lpstr>Sp2</vt:lpstr>
      <vt:lpstr>Task Slips</vt:lpstr>
      <vt:lpstr>'Sp1'!DoneDays</vt:lpstr>
      <vt:lpstr>'Sp2'!DoneDays</vt:lpstr>
      <vt:lpstr>'Product Backlog'!Excel_BuiltIn_Print_Area</vt:lpstr>
      <vt:lpstr>'Sp1'!ImplementationDays</vt:lpstr>
      <vt:lpstr>'Sp2'!ImplementationDays</vt:lpstr>
      <vt:lpstr>ProductBacklog</vt:lpstr>
      <vt:lpstr>Sprint</vt:lpstr>
      <vt:lpstr>SprintCount</vt:lpstr>
      <vt:lpstr>SprintsInTrend</vt:lpstr>
      <vt:lpstr>'Sp1'!SprintTasks</vt:lpstr>
      <vt:lpstr>SprintTasks</vt:lpstr>
      <vt:lpstr>Status</vt:lpstr>
      <vt:lpstr>StoryName</vt:lpstr>
      <vt:lpstr>'Sp1'!TaskRows</vt:lpstr>
      <vt:lpstr>'Sp2'!TaskRows</vt:lpstr>
      <vt:lpstr>'Sp1'!TaskStatus</vt:lpstr>
      <vt:lpstr>TaskStatus</vt:lpstr>
      <vt:lpstr>'Sp1'!TaskStoryID</vt:lpstr>
      <vt:lpstr>TaskStoryID</vt:lpstr>
      <vt:lpstr>'Sp1'!TotalEffort</vt:lpstr>
      <vt:lpstr>'Sp2'!TotalEffort</vt:lpstr>
      <vt:lpstr>'Sp1'!TrendDays</vt:lpstr>
      <vt:lpstr>TrendDays</vt:lpstr>
      <vt:lpstr>TrendOffset</vt:lpstr>
      <vt:lpstr>TrendSprintCount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Iteration Plans</dc:title>
  <dc:subject/>
  <dc:creator>&lt; Your name &gt;</dc:creator>
  <dc:description>Template versio 1.0 Approval</dc:description>
  <cp:lastModifiedBy>Hugo Baird</cp:lastModifiedBy>
  <cp:revision>8</cp:revision>
  <dcterms:created xsi:type="dcterms:W3CDTF">1998-06-05T11:20:44Z</dcterms:created>
  <dcterms:modified xsi:type="dcterms:W3CDTF">2020-04-15T04:35:22Z</dcterms:modified>
  <dc:language>en-NZ</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0x010100ECEEF0CE1F6D7947AAF27832466D85D0</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ies>
</file>