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f8c00b68312d67f/University 2020 S1/INFO310/"/>
    </mc:Choice>
  </mc:AlternateContent>
  <xr:revisionPtr revIDLastSave="29" documentId="8_{A15DA6C4-05AF-4080-9F38-31439B2A7BAF}" xr6:coauthVersionLast="45" xr6:coauthVersionMax="45" xr10:uidLastSave="{86E84010-3C03-4D0E-BD20-01099C4E601C}"/>
  <bookViews>
    <workbookView xWindow="-108" yWindow="-108" windowWidth="23256" windowHeight="12576" tabRatio="500" activeTab="2" xr2:uid="{00000000-000D-0000-FFFF-FFFF00000000}"/>
  </bookViews>
  <sheets>
    <sheet name="Release Plan" sheetId="1" r:id="rId1"/>
    <sheet name="Product Backlog" sheetId="2" r:id="rId2"/>
    <sheet name="PB Burndown" sheetId="3" r:id="rId3"/>
    <sheet name="Sp1" sheetId="4" r:id="rId4"/>
    <sheet name="Sp2" sheetId="5" r:id="rId5"/>
    <sheet name="Task Slips" sheetId="6" r:id="rId6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>#REF!</definedName>
    <definedName name="Excel_BuiltIn_Print_Area" localSheetId="1">'Product Backlog'!$A:$G</definedName>
    <definedName name="Excel_BuiltIn_Print_Area" localSheetId="5">'Task Slips'!#REF!</definedName>
    <definedName name="ImplementationDays" localSheetId="3">'Sp1'!$B$9</definedName>
    <definedName name="ImplementationDays" localSheetId="4">'Sp2'!$B$9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Backlog'!$A$4:$G$160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Sprint">'Product Backlog'!$E$5:$E$160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'Sp2'!$A$14:$AD$63</definedName>
    <definedName name="Status">'Product Backlog'!$C$5:$C$160</definedName>
    <definedName name="StoryName">'Product Backlog'!$B$5:$B$160</definedName>
    <definedName name="TaskRows" localSheetId="3">'Sp1'!$B$11</definedName>
    <definedName name="TaskRows" localSheetId="4">'Sp2'!$B$11</definedName>
    <definedName name="TaskRows">#REF!</definedName>
    <definedName name="TaskStatus" localSheetId="3">'Sp1'!$D$14:$D$58</definedName>
    <definedName name="TaskStatus">'Sp2'!$D$14:$D$58</definedName>
    <definedName name="TaskStoryID" localSheetId="3">'Sp1'!$B$14:$B$53</definedName>
    <definedName name="TaskStoryID">'Sp2'!$B$14:$B$53</definedName>
    <definedName name="TotalEffort" localSheetId="3">'Sp1'!$E$10</definedName>
    <definedName name="TotalEffort" localSheetId="4">'Sp2'!$E$10</definedName>
    <definedName name="TotalEffort">#REF!</definedName>
    <definedName name="TrendDays" localSheetId="3">'Sp1'!$D$13</definedName>
    <definedName name="TrendDays">'Sp2'!$D$13</definedName>
    <definedName name="TrendOffset">'PB Burndown'!$G$5</definedName>
    <definedName name="TrendSprintCount">'PB Burndown'!$G$4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3" l="1"/>
  <c r="D6" i="1"/>
  <c r="F19" i="4" l="1"/>
  <c r="D16" i="1"/>
  <c r="G4" i="3" l="1"/>
  <c r="D10" i="3" s="1"/>
  <c r="P29" i="3" s="1"/>
  <c r="A8" i="3"/>
  <c r="D15" i="3"/>
  <c r="D16" i="3"/>
  <c r="D17" i="3"/>
  <c r="G17" i="3"/>
  <c r="A18" i="3"/>
  <c r="E28" i="3"/>
  <c r="H28" i="3"/>
  <c r="E29" i="3"/>
  <c r="B4" i="1"/>
  <c r="C4" i="1"/>
  <c r="B5" i="1" s="1"/>
  <c r="D5" i="1" s="1"/>
  <c r="C5" i="1"/>
  <c r="C6" i="1"/>
  <c r="E6" i="1"/>
  <c r="C7" i="1"/>
  <c r="D7" i="1"/>
  <c r="E7" i="1"/>
  <c r="C8" i="1"/>
  <c r="D8" i="1" s="1"/>
  <c r="E8" i="1"/>
  <c r="C9" i="1"/>
  <c r="D9" i="1" s="1"/>
  <c r="E9" i="1"/>
  <c r="C10" i="1"/>
  <c r="D10" i="1"/>
  <c r="E10" i="1"/>
  <c r="B17" i="1"/>
  <c r="F18" i="1"/>
  <c r="F22" i="1"/>
  <c r="F23" i="1"/>
  <c r="F24" i="1"/>
  <c r="F25" i="1"/>
  <c r="F26" i="1"/>
  <c r="F27" i="1"/>
  <c r="F28" i="1"/>
  <c r="F29" i="1"/>
  <c r="F30" i="1"/>
  <c r="E31" i="1"/>
  <c r="B11" i="4"/>
  <c r="G10" i="4" s="1"/>
  <c r="G14" i="4"/>
  <c r="G63" i="4"/>
  <c r="F15" i="4"/>
  <c r="F17" i="4"/>
  <c r="F10" i="4" s="1"/>
  <c r="F18" i="4"/>
  <c r="D41" i="4"/>
  <c r="F41" i="4"/>
  <c r="D42" i="4"/>
  <c r="F42" i="4"/>
  <c r="D43" i="4"/>
  <c r="F43" i="4"/>
  <c r="D44" i="4"/>
  <c r="F44" i="4"/>
  <c r="D45" i="4"/>
  <c r="F45" i="4"/>
  <c r="D46" i="4"/>
  <c r="F46" i="4"/>
  <c r="D47" i="4"/>
  <c r="F47" i="4"/>
  <c r="D48" i="4"/>
  <c r="F48" i="4"/>
  <c r="D49" i="4"/>
  <c r="F49" i="4"/>
  <c r="D50" i="4"/>
  <c r="F50" i="4"/>
  <c r="D51" i="4"/>
  <c r="F51" i="4"/>
  <c r="D52" i="4"/>
  <c r="F52" i="4"/>
  <c r="D53" i="4"/>
  <c r="F53" i="4"/>
  <c r="D54" i="4"/>
  <c r="F54" i="4"/>
  <c r="D55" i="4"/>
  <c r="F55" i="4"/>
  <c r="D56" i="4"/>
  <c r="F56" i="4"/>
  <c r="D57" i="4"/>
  <c r="F57" i="4"/>
  <c r="D58" i="4"/>
  <c r="F58" i="4"/>
  <c r="D59" i="4"/>
  <c r="F59" i="4"/>
  <c r="D60" i="4"/>
  <c r="F60" i="4"/>
  <c r="D61" i="4"/>
  <c r="F61" i="4"/>
  <c r="D62" i="4"/>
  <c r="F62" i="4"/>
  <c r="D63" i="4"/>
  <c r="F63" i="4"/>
  <c r="D64" i="4"/>
  <c r="B11" i="5"/>
  <c r="J10" i="5"/>
  <c r="G14" i="5"/>
  <c r="H14" i="5"/>
  <c r="D15" i="5"/>
  <c r="F15" i="5"/>
  <c r="D16" i="5"/>
  <c r="F16" i="5"/>
  <c r="D17" i="5"/>
  <c r="F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D33" i="5"/>
  <c r="F33" i="5"/>
  <c r="D34" i="5"/>
  <c r="F34" i="5"/>
  <c r="D35" i="5"/>
  <c r="F35" i="5"/>
  <c r="D36" i="5"/>
  <c r="F36" i="5"/>
  <c r="D37" i="5"/>
  <c r="F37" i="5"/>
  <c r="D38" i="5"/>
  <c r="F38" i="5"/>
  <c r="D39" i="5"/>
  <c r="F39" i="5"/>
  <c r="D40" i="5"/>
  <c r="F40" i="5"/>
  <c r="D41" i="5"/>
  <c r="F41" i="5"/>
  <c r="D42" i="5"/>
  <c r="F42" i="5"/>
  <c r="D43" i="5"/>
  <c r="F43" i="5"/>
  <c r="D44" i="5"/>
  <c r="F44" i="5"/>
  <c r="D45" i="5"/>
  <c r="F45" i="5"/>
  <c r="D46" i="5"/>
  <c r="F46" i="5"/>
  <c r="D47" i="5"/>
  <c r="F47" i="5"/>
  <c r="D48" i="5"/>
  <c r="F48" i="5"/>
  <c r="D49" i="5"/>
  <c r="F49" i="5"/>
  <c r="D50" i="5"/>
  <c r="F50" i="5"/>
  <c r="D51" i="5"/>
  <c r="F51" i="5"/>
  <c r="D52" i="5"/>
  <c r="F52" i="5"/>
  <c r="D53" i="5"/>
  <c r="F53" i="5"/>
  <c r="D54" i="5"/>
  <c r="F54" i="5"/>
  <c r="D55" i="5"/>
  <c r="F55" i="5"/>
  <c r="D56" i="5"/>
  <c r="F56" i="5"/>
  <c r="D57" i="5"/>
  <c r="F57" i="5"/>
  <c r="D58" i="5"/>
  <c r="F58" i="5"/>
  <c r="G58" i="5"/>
  <c r="H58" i="5"/>
  <c r="D59" i="5"/>
  <c r="F59" i="5"/>
  <c r="G59" i="5"/>
  <c r="D64" i="5"/>
  <c r="A5" i="6"/>
  <c r="A13" i="6"/>
  <c r="A21" i="6"/>
  <c r="A29" i="6"/>
  <c r="Z10" i="5"/>
  <c r="R10" i="5"/>
  <c r="G10" i="5"/>
  <c r="H10" i="5"/>
  <c r="L10" i="5"/>
  <c r="P10" i="5"/>
  <c r="T10" i="5"/>
  <c r="X10" i="5"/>
  <c r="AB10" i="5"/>
  <c r="I10" i="5"/>
  <c r="M10" i="5"/>
  <c r="Q10" i="5"/>
  <c r="U10" i="5"/>
  <c r="Y10" i="5"/>
  <c r="AC10" i="5"/>
  <c r="W10" i="5"/>
  <c r="O10" i="5"/>
  <c r="F10" i="5"/>
  <c r="H14" i="4"/>
  <c r="H59" i="5"/>
  <c r="AD10" i="5"/>
  <c r="V10" i="5"/>
  <c r="N10" i="5"/>
  <c r="E10" i="5"/>
  <c r="F11" i="5" s="1"/>
  <c r="I14" i="5"/>
  <c r="AA10" i="5"/>
  <c r="S10" i="5"/>
  <c r="K10" i="5"/>
  <c r="G62" i="4"/>
  <c r="AA10" i="4"/>
  <c r="W10" i="4"/>
  <c r="S10" i="4"/>
  <c r="O10" i="4"/>
  <c r="K10" i="4"/>
  <c r="B18" i="1"/>
  <c r="D17" i="1"/>
  <c r="F28" i="3"/>
  <c r="K28" i="3" s="1"/>
  <c r="I14" i="4"/>
  <c r="H62" i="4"/>
  <c r="H63" i="4"/>
  <c r="I58" i="5"/>
  <c r="J14" i="5"/>
  <c r="I59" i="5"/>
  <c r="E31" i="3"/>
  <c r="D18" i="1"/>
  <c r="K14" i="5"/>
  <c r="J58" i="5"/>
  <c r="J59" i="5"/>
  <c r="I62" i="4"/>
  <c r="J14" i="4"/>
  <c r="J63" i="4" s="1"/>
  <c r="I63" i="4"/>
  <c r="I32" i="3"/>
  <c r="H32" i="3" s="1"/>
  <c r="B33" i="3"/>
  <c r="I33" i="3" s="1"/>
  <c r="H33" i="3" s="1"/>
  <c r="F32" i="3"/>
  <c r="G32" i="3" s="1"/>
  <c r="K59" i="5"/>
  <c r="K11" i="5"/>
  <c r="L14" i="5"/>
  <c r="K58" i="5"/>
  <c r="E33" i="3"/>
  <c r="J62" i="4"/>
  <c r="K14" i="4"/>
  <c r="L59" i="5"/>
  <c r="L11" i="5"/>
  <c r="M14" i="5"/>
  <c r="L58" i="5"/>
  <c r="B22" i="1"/>
  <c r="M11" i="5"/>
  <c r="N14" i="5"/>
  <c r="M58" i="5"/>
  <c r="M59" i="5"/>
  <c r="A22" i="1"/>
  <c r="E22" i="1"/>
  <c r="B23" i="1"/>
  <c r="D23" i="1"/>
  <c r="D22" i="1"/>
  <c r="B24" i="1"/>
  <c r="D24" i="1"/>
  <c r="A23" i="1"/>
  <c r="E23" i="1"/>
  <c r="N11" i="5"/>
  <c r="O14" i="5"/>
  <c r="N58" i="5"/>
  <c r="N59" i="5"/>
  <c r="A24" i="1"/>
  <c r="E24" i="1"/>
  <c r="O59" i="5"/>
  <c r="O11" i="5"/>
  <c r="P14" i="5"/>
  <c r="O58" i="5"/>
  <c r="P59" i="5"/>
  <c r="P11" i="5"/>
  <c r="Q14" i="5"/>
  <c r="P58" i="5"/>
  <c r="Q58" i="5"/>
  <c r="Q59" i="5"/>
  <c r="Q11" i="5"/>
  <c r="R14" i="5"/>
  <c r="R11" i="5"/>
  <c r="S14" i="5"/>
  <c r="R58" i="5"/>
  <c r="R59" i="5"/>
  <c r="S11" i="5"/>
  <c r="T14" i="5"/>
  <c r="S59" i="5"/>
  <c r="S58" i="5"/>
  <c r="T11" i="5"/>
  <c r="U14" i="5"/>
  <c r="T59" i="5"/>
  <c r="T58" i="5"/>
  <c r="U58" i="5"/>
  <c r="U11" i="5"/>
  <c r="V14" i="5"/>
  <c r="U59" i="5"/>
  <c r="V11" i="5"/>
  <c r="W14" i="5"/>
  <c r="V58" i="5"/>
  <c r="V59" i="5"/>
  <c r="W59" i="5"/>
  <c r="W58" i="5"/>
  <c r="W11" i="5"/>
  <c r="X14" i="5"/>
  <c r="X11" i="5"/>
  <c r="Y14" i="5"/>
  <c r="X59" i="5"/>
  <c r="X58" i="5"/>
  <c r="Y58" i="5"/>
  <c r="Y11" i="5"/>
  <c r="Z14" i="5"/>
  <c r="Y59" i="5"/>
  <c r="Z11" i="5"/>
  <c r="AA14" i="5"/>
  <c r="Z58" i="5"/>
  <c r="Z59" i="5"/>
  <c r="AA59" i="5"/>
  <c r="AA11" i="5"/>
  <c r="AB14" i="5"/>
  <c r="AA58" i="5"/>
  <c r="AB59" i="5"/>
  <c r="AB11" i="5"/>
  <c r="AC14" i="5"/>
  <c r="AB58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11" i="5"/>
  <c r="AD14" i="5"/>
  <c r="AC58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9" i="5"/>
  <c r="AD11" i="5"/>
  <c r="AD17" i="5"/>
  <c r="AD21" i="5"/>
  <c r="AD25" i="5"/>
  <c r="AD29" i="5"/>
  <c r="AD16" i="5"/>
  <c r="AD20" i="5"/>
  <c r="AD24" i="5"/>
  <c r="AD28" i="5"/>
  <c r="AD58" i="5"/>
  <c r="AD19" i="5"/>
  <c r="AD23" i="5"/>
  <c r="AD27" i="5"/>
  <c r="AD18" i="5"/>
  <c r="AD22" i="5"/>
  <c r="AD26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9" i="5"/>
  <c r="B25" i="1"/>
  <c r="E4" i="1"/>
  <c r="E5" i="1"/>
  <c r="B26" i="1"/>
  <c r="D25" i="1"/>
  <c r="A25" i="1"/>
  <c r="E25" i="1"/>
  <c r="D26" i="1"/>
  <c r="B27" i="1"/>
  <c r="A26" i="1"/>
  <c r="E26" i="1"/>
  <c r="D27" i="1"/>
  <c r="B28" i="1"/>
  <c r="A27" i="1"/>
  <c r="E27" i="1"/>
  <c r="D28" i="1"/>
  <c r="B29" i="1"/>
  <c r="A28" i="1"/>
  <c r="E28" i="1"/>
  <c r="A29" i="1"/>
  <c r="E29" i="1"/>
  <c r="D29" i="1"/>
  <c r="B30" i="1"/>
  <c r="D30" i="1"/>
  <c r="A30" i="1"/>
  <c r="E30" i="1"/>
  <c r="G5" i="3" l="1"/>
  <c r="F29" i="3"/>
  <c r="G29" i="3" s="1"/>
  <c r="G28" i="3"/>
  <c r="I29" i="3"/>
  <c r="K32" i="3"/>
  <c r="F33" i="3"/>
  <c r="B34" i="3"/>
  <c r="K62" i="4"/>
  <c r="K63" i="4"/>
  <c r="L14" i="4"/>
  <c r="P33" i="3"/>
  <c r="P30" i="3"/>
  <c r="P38" i="3"/>
  <c r="D4" i="1"/>
  <c r="P48" i="3"/>
  <c r="P37" i="3"/>
  <c r="G11" i="5"/>
  <c r="P34" i="3"/>
  <c r="P47" i="3"/>
  <c r="D11" i="3"/>
  <c r="Q36" i="3" s="1"/>
  <c r="P41" i="3"/>
  <c r="P35" i="3"/>
  <c r="D11" i="5"/>
  <c r="D13" i="5" s="1"/>
  <c r="P31" i="3"/>
  <c r="P50" i="3"/>
  <c r="P43" i="3"/>
  <c r="P36" i="3"/>
  <c r="P32" i="3"/>
  <c r="P40" i="3"/>
  <c r="P42" i="3"/>
  <c r="P44" i="3"/>
  <c r="I11" i="5"/>
  <c r="P46" i="3"/>
  <c r="P39" i="3"/>
  <c r="P45" i="3"/>
  <c r="P49" i="3"/>
  <c r="P28" i="3"/>
  <c r="P51" i="3"/>
  <c r="H11" i="5"/>
  <c r="J11" i="5"/>
  <c r="G6" i="3"/>
  <c r="E10" i="4"/>
  <c r="K11" i="4" s="1"/>
  <c r="H10" i="4"/>
  <c r="I10" i="4"/>
  <c r="J10" i="4"/>
  <c r="L10" i="4"/>
  <c r="M10" i="4"/>
  <c r="N10" i="4"/>
  <c r="P10" i="4"/>
  <c r="Q10" i="4"/>
  <c r="R10" i="4"/>
  <c r="T10" i="4"/>
  <c r="U10" i="4"/>
  <c r="V10" i="4"/>
  <c r="X10" i="4"/>
  <c r="Y10" i="4"/>
  <c r="Z10" i="4"/>
  <c r="AB10" i="4"/>
  <c r="I30" i="3" l="1"/>
  <c r="F31" i="3" s="1"/>
  <c r="G31" i="3" s="1"/>
  <c r="E30" i="3"/>
  <c r="F30" i="3"/>
  <c r="G30" i="3" s="1"/>
  <c r="K29" i="3"/>
  <c r="H29" i="3"/>
  <c r="F34" i="3"/>
  <c r="E34" i="3"/>
  <c r="I34" i="3"/>
  <c r="H34" i="3" s="1"/>
  <c r="B35" i="3"/>
  <c r="G33" i="3"/>
  <c r="K33" i="3"/>
  <c r="L11" i="4"/>
  <c r="M14" i="4"/>
  <c r="L62" i="4"/>
  <c r="L63" i="4"/>
  <c r="Q31" i="3"/>
  <c r="F13" i="5"/>
  <c r="Z12" i="5" s="1"/>
  <c r="Q33" i="3"/>
  <c r="Q32" i="3"/>
  <c r="Q51" i="3"/>
  <c r="Q29" i="3"/>
  <c r="Q44" i="3"/>
  <c r="Q48" i="3"/>
  <c r="Q34" i="3"/>
  <c r="Q40" i="3"/>
  <c r="Q50" i="3"/>
  <c r="Q41" i="3"/>
  <c r="Q47" i="3"/>
  <c r="Q42" i="3"/>
  <c r="Q45" i="3"/>
  <c r="Q28" i="3"/>
  <c r="Q30" i="3"/>
  <c r="Q35" i="3"/>
  <c r="Q46" i="3"/>
  <c r="Q38" i="3"/>
  <c r="Q49" i="3"/>
  <c r="Q37" i="3"/>
  <c r="Q39" i="3"/>
  <c r="Q43" i="3"/>
  <c r="I11" i="4"/>
  <c r="G11" i="4"/>
  <c r="H11" i="4"/>
  <c r="F11" i="4"/>
  <c r="J11" i="4"/>
  <c r="D8" i="3"/>
  <c r="I31" i="3" l="1"/>
  <c r="H31" i="3" s="1"/>
  <c r="N43" i="3"/>
  <c r="N41" i="3"/>
  <c r="W12" i="5"/>
  <c r="K30" i="3"/>
  <c r="N44" i="3"/>
  <c r="N35" i="3"/>
  <c r="H30" i="3"/>
  <c r="K31" i="3"/>
  <c r="N29" i="3"/>
  <c r="N30" i="3"/>
  <c r="B36" i="3"/>
  <c r="F35" i="3"/>
  <c r="I35" i="3"/>
  <c r="H35" i="3" s="1"/>
  <c r="E35" i="3"/>
  <c r="K34" i="3"/>
  <c r="G34" i="3"/>
  <c r="N14" i="4"/>
  <c r="M63" i="4"/>
  <c r="M11" i="4"/>
  <c r="M62" i="4"/>
  <c r="I12" i="5"/>
  <c r="M12" i="5"/>
  <c r="N12" i="5"/>
  <c r="G12" i="5"/>
  <c r="F12" i="5"/>
  <c r="H12" i="5"/>
  <c r="J12" i="5"/>
  <c r="AD12" i="5"/>
  <c r="K12" i="5"/>
  <c r="L12" i="5"/>
  <c r="X12" i="5"/>
  <c r="S12" i="5"/>
  <c r="Y12" i="5"/>
  <c r="AB12" i="5"/>
  <c r="U12" i="5"/>
  <c r="AC12" i="5"/>
  <c r="V12" i="5"/>
  <c r="P12" i="5"/>
  <c r="T12" i="5"/>
  <c r="AA12" i="5"/>
  <c r="Q12" i="5"/>
  <c r="R12" i="5"/>
  <c r="O12" i="5"/>
  <c r="L30" i="3" l="1"/>
  <c r="N34" i="3"/>
  <c r="N32" i="3"/>
  <c r="N28" i="3"/>
  <c r="L28" i="3" s="1"/>
  <c r="M28" i="3" s="1"/>
  <c r="N40" i="3"/>
  <c r="L40" i="3" s="1"/>
  <c r="N33" i="3"/>
  <c r="N50" i="3"/>
  <c r="L50" i="3" s="1"/>
  <c r="N31" i="3"/>
  <c r="L31" i="3" s="1"/>
  <c r="M31" i="3" s="1"/>
  <c r="N45" i="3"/>
  <c r="L45" i="3" s="1"/>
  <c r="N39" i="3"/>
  <c r="L39" i="3" s="1"/>
  <c r="N36" i="3"/>
  <c r="N42" i="3"/>
  <c r="L42" i="3" s="1"/>
  <c r="N46" i="3"/>
  <c r="L46" i="3" s="1"/>
  <c r="N37" i="3"/>
  <c r="L37" i="3" s="1"/>
  <c r="N49" i="3"/>
  <c r="N51" i="3"/>
  <c r="L51" i="3" s="1"/>
  <c r="N48" i="3"/>
  <c r="L48" i="3" s="1"/>
  <c r="N38" i="3"/>
  <c r="L38" i="3" s="1"/>
  <c r="N47" i="3"/>
  <c r="L47" i="3" s="1"/>
  <c r="L33" i="3"/>
  <c r="L29" i="3"/>
  <c r="L44" i="3"/>
  <c r="L36" i="3"/>
  <c r="L32" i="3"/>
  <c r="L43" i="3"/>
  <c r="L41" i="3"/>
  <c r="L34" i="3"/>
  <c r="L35" i="3"/>
  <c r="L49" i="3"/>
  <c r="G35" i="3"/>
  <c r="K35" i="3"/>
  <c r="E36" i="3"/>
  <c r="I36" i="3"/>
  <c r="H36" i="3" s="1"/>
  <c r="B37" i="3"/>
  <c r="F36" i="3"/>
  <c r="N63" i="4"/>
  <c r="N62" i="4"/>
  <c r="O14" i="4"/>
  <c r="N11" i="4"/>
  <c r="M41" i="3" l="1"/>
  <c r="M30" i="3"/>
  <c r="M33" i="3"/>
  <c r="M34" i="3"/>
  <c r="M43" i="3"/>
  <c r="M49" i="3"/>
  <c r="M38" i="3"/>
  <c r="M39" i="3"/>
  <c r="M44" i="3"/>
  <c r="M32" i="3"/>
  <c r="M51" i="3"/>
  <c r="M37" i="3"/>
  <c r="M40" i="3"/>
  <c r="M46" i="3"/>
  <c r="M47" i="3"/>
  <c r="M42" i="3"/>
  <c r="M35" i="3"/>
  <c r="M48" i="3"/>
  <c r="M45" i="3"/>
  <c r="M36" i="3"/>
  <c r="M50" i="3"/>
  <c r="M29" i="3"/>
  <c r="D12" i="3" s="1"/>
  <c r="G36" i="3"/>
  <c r="K36" i="3"/>
  <c r="B38" i="3"/>
  <c r="F37" i="3"/>
  <c r="E37" i="3"/>
  <c r="I37" i="3"/>
  <c r="H37" i="3" s="1"/>
  <c r="O62" i="4"/>
  <c r="O63" i="4"/>
  <c r="P14" i="4"/>
  <c r="O11" i="4"/>
  <c r="G9" i="3" l="1"/>
  <c r="D22" i="3"/>
  <c r="F38" i="3"/>
  <c r="E38" i="3"/>
  <c r="I38" i="3"/>
  <c r="H38" i="3" s="1"/>
  <c r="B39" i="3"/>
  <c r="G37" i="3"/>
  <c r="K37" i="3"/>
  <c r="P11" i="4"/>
  <c r="Q14" i="4"/>
  <c r="P62" i="4"/>
  <c r="P63" i="4"/>
  <c r="G38" i="3" l="1"/>
  <c r="K38" i="3"/>
  <c r="E39" i="3"/>
  <c r="I39" i="3"/>
  <c r="H39" i="3" s="1"/>
  <c r="B40" i="3"/>
  <c r="F39" i="3"/>
  <c r="G3" i="3"/>
  <c r="Q11" i="4"/>
  <c r="R14" i="4"/>
  <c r="Q62" i="4"/>
  <c r="Q63" i="4"/>
  <c r="K39" i="3" l="1"/>
  <c r="G39" i="3"/>
  <c r="G20" i="3"/>
  <c r="D9" i="3"/>
  <c r="G19" i="3"/>
  <c r="D20" i="3"/>
  <c r="D21" i="3"/>
  <c r="D18" i="3"/>
  <c r="I40" i="3"/>
  <c r="H40" i="3" s="1"/>
  <c r="B41" i="3"/>
  <c r="F40" i="3"/>
  <c r="E40" i="3"/>
  <c r="S14" i="4"/>
  <c r="R11" i="4"/>
  <c r="R62" i="4"/>
  <c r="R63" i="4"/>
  <c r="I41" i="3" l="1"/>
  <c r="H41" i="3" s="1"/>
  <c r="E41" i="3"/>
  <c r="B42" i="3"/>
  <c r="F41" i="3"/>
  <c r="O44" i="3"/>
  <c r="D24" i="3"/>
  <c r="O45" i="3"/>
  <c r="O32" i="3"/>
  <c r="O34" i="3"/>
  <c r="D23" i="3"/>
  <c r="O46" i="3"/>
  <c r="O35" i="3"/>
  <c r="O47" i="3"/>
  <c r="O49" i="3"/>
  <c r="O42" i="3"/>
  <c r="O43" i="3"/>
  <c r="O51" i="3"/>
  <c r="O38" i="3"/>
  <c r="O30" i="3"/>
  <c r="O28" i="3"/>
  <c r="O31" i="3"/>
  <c r="O48" i="3"/>
  <c r="O29" i="3"/>
  <c r="O37" i="3"/>
  <c r="O36" i="3"/>
  <c r="O41" i="3"/>
  <c r="O50" i="3"/>
  <c r="O39" i="3"/>
  <c r="D19" i="3"/>
  <c r="O33" i="3"/>
  <c r="O40" i="3"/>
  <c r="K40" i="3"/>
  <c r="G40" i="3"/>
  <c r="S62" i="4"/>
  <c r="S63" i="4"/>
  <c r="T14" i="4"/>
  <c r="S11" i="4"/>
  <c r="G41" i="3" l="1"/>
  <c r="K41" i="3"/>
  <c r="B43" i="3"/>
  <c r="F42" i="3"/>
  <c r="E42" i="3"/>
  <c r="I42" i="3"/>
  <c r="H42" i="3" s="1"/>
  <c r="T11" i="4"/>
  <c r="U14" i="4"/>
  <c r="T62" i="4"/>
  <c r="T63" i="4"/>
  <c r="K42" i="3" l="1"/>
  <c r="G42" i="3"/>
  <c r="E43" i="3"/>
  <c r="I43" i="3"/>
  <c r="H43" i="3" s="1"/>
  <c r="B44" i="3"/>
  <c r="F43" i="3"/>
  <c r="V14" i="4"/>
  <c r="U63" i="4"/>
  <c r="U62" i="4"/>
  <c r="U11" i="4"/>
  <c r="B45" i="3" l="1"/>
  <c r="F44" i="3"/>
  <c r="I44" i="3"/>
  <c r="H44" i="3" s="1"/>
  <c r="E44" i="3"/>
  <c r="K43" i="3"/>
  <c r="G43" i="3"/>
  <c r="W14" i="4"/>
  <c r="V62" i="4"/>
  <c r="V11" i="4"/>
  <c r="V63" i="4"/>
  <c r="E45" i="3" l="1"/>
  <c r="I45" i="3"/>
  <c r="H45" i="3" s="1"/>
  <c r="B46" i="3"/>
  <c r="F45" i="3"/>
  <c r="G44" i="3"/>
  <c r="K44" i="3"/>
  <c r="W62" i="4"/>
  <c r="W63" i="4"/>
  <c r="X14" i="4"/>
  <c r="W11" i="4"/>
  <c r="B47" i="3" l="1"/>
  <c r="F46" i="3"/>
  <c r="E46" i="3"/>
  <c r="I46" i="3"/>
  <c r="H46" i="3" s="1"/>
  <c r="G45" i="3"/>
  <c r="K45" i="3"/>
  <c r="Y14" i="4"/>
  <c r="X62" i="4"/>
  <c r="X63" i="4"/>
  <c r="X11" i="4"/>
  <c r="E47" i="3" l="1"/>
  <c r="I47" i="3"/>
  <c r="H47" i="3" s="1"/>
  <c r="B48" i="3"/>
  <c r="F47" i="3"/>
  <c r="G46" i="3"/>
  <c r="K46" i="3"/>
  <c r="Y62" i="4"/>
  <c r="Z14" i="4"/>
  <c r="Y63" i="4"/>
  <c r="Y11" i="4"/>
  <c r="K47" i="3" l="1"/>
  <c r="G47" i="3"/>
  <c r="B49" i="3"/>
  <c r="F48" i="3"/>
  <c r="I48" i="3"/>
  <c r="H48" i="3" s="1"/>
  <c r="E48" i="3"/>
  <c r="Z11" i="4"/>
  <c r="Z63" i="4"/>
  <c r="AA14" i="4"/>
  <c r="Z62" i="4"/>
  <c r="K48" i="3" l="1"/>
  <c r="G48" i="3"/>
  <c r="I49" i="3"/>
  <c r="H49" i="3" s="1"/>
  <c r="B50" i="3"/>
  <c r="F49" i="3"/>
  <c r="E49" i="3"/>
  <c r="AA62" i="4"/>
  <c r="AA11" i="4"/>
  <c r="AB14" i="4"/>
  <c r="AA63" i="4"/>
  <c r="K49" i="3" l="1"/>
  <c r="G49" i="3"/>
  <c r="F50" i="3"/>
  <c r="E50" i="3"/>
  <c r="I50" i="3"/>
  <c r="H50" i="3" s="1"/>
  <c r="B51" i="3"/>
  <c r="AB11" i="4"/>
  <c r="AC14" i="4"/>
  <c r="AB62" i="4"/>
  <c r="AB63" i="4"/>
  <c r="F51" i="3" l="1"/>
  <c r="E51" i="3"/>
  <c r="I51" i="3"/>
  <c r="H51" i="3" s="1"/>
  <c r="G50" i="3"/>
  <c r="K50" i="3"/>
  <c r="AC19" i="4"/>
  <c r="AC53" i="4"/>
  <c r="AC34" i="4"/>
  <c r="AC32" i="4"/>
  <c r="AC43" i="4"/>
  <c r="AC30" i="4"/>
  <c r="AC24" i="4"/>
  <c r="AC57" i="4"/>
  <c r="AC40" i="4"/>
  <c r="AC38" i="4"/>
  <c r="AC51" i="4"/>
  <c r="AC36" i="4"/>
  <c r="AC20" i="4"/>
  <c r="AC28" i="4"/>
  <c r="AC61" i="4"/>
  <c r="AC44" i="4"/>
  <c r="AC46" i="4"/>
  <c r="AC59" i="4"/>
  <c r="AC47" i="4"/>
  <c r="AC39" i="4"/>
  <c r="AC33" i="4"/>
  <c r="AC63" i="4"/>
  <c r="AC48" i="4"/>
  <c r="AC54" i="4"/>
  <c r="AC23" i="4"/>
  <c r="AC55" i="4"/>
  <c r="AC37" i="4"/>
  <c r="AC11" i="4"/>
  <c r="AC52" i="4"/>
  <c r="AC62" i="4"/>
  <c r="AC29" i="4"/>
  <c r="AC49" i="4"/>
  <c r="AC58" i="4"/>
  <c r="AD14" i="4"/>
  <c r="AC41" i="4"/>
  <c r="AC22" i="4"/>
  <c r="AC56" i="4"/>
  <c r="AC21" i="4"/>
  <c r="AC42" i="4"/>
  <c r="AC31" i="4"/>
  <c r="AC17" i="4"/>
  <c r="AC45" i="4"/>
  <c r="AC26" i="4"/>
  <c r="AC60" i="4"/>
  <c r="AC27" i="4"/>
  <c r="AC50" i="4"/>
  <c r="K51" i="3" l="1"/>
  <c r="G51" i="3"/>
  <c r="AC10" i="4"/>
  <c r="AD24" i="4"/>
  <c r="AD41" i="4"/>
  <c r="AD49" i="4"/>
  <c r="AD57" i="4"/>
  <c r="AD39" i="4"/>
  <c r="AD32" i="4"/>
  <c r="AD27" i="4"/>
  <c r="AD42" i="4"/>
  <c r="AD50" i="4"/>
  <c r="AD58" i="4"/>
  <c r="AD62" i="4"/>
  <c r="AD34" i="4"/>
  <c r="AD40" i="4"/>
  <c r="AD26" i="4"/>
  <c r="AD29" i="4"/>
  <c r="AD43" i="4"/>
  <c r="AD51" i="4"/>
  <c r="AD59" i="4"/>
  <c r="AD17" i="4"/>
  <c r="AD11" i="4"/>
  <c r="AD52" i="4"/>
  <c r="AD23" i="4"/>
  <c r="AD56" i="4"/>
  <c r="AD31" i="4"/>
  <c r="AD44" i="4"/>
  <c r="AD60" i="4"/>
  <c r="AD48" i="4"/>
  <c r="AD33" i="4"/>
  <c r="AD45" i="4"/>
  <c r="AD53" i="4"/>
  <c r="AD61" i="4"/>
  <c r="AD19" i="4"/>
  <c r="AD30" i="4"/>
  <c r="AD36" i="4"/>
  <c r="AD46" i="4"/>
  <c r="AD54" i="4"/>
  <c r="AD63" i="4"/>
  <c r="AD28" i="4"/>
  <c r="AD22" i="4"/>
  <c r="AD20" i="4"/>
  <c r="AD38" i="4"/>
  <c r="AD47" i="4"/>
  <c r="AD55" i="4"/>
  <c r="AD21" i="4"/>
  <c r="AD37" i="4"/>
  <c r="AD10" i="4" l="1"/>
  <c r="D11" i="4" s="1"/>
  <c r="F13" i="4" s="1"/>
  <c r="D13" i="4" l="1"/>
  <c r="L12" i="4" s="1"/>
  <c r="AB12" i="4" l="1"/>
  <c r="G12" i="4"/>
  <c r="AA12" i="4"/>
  <c r="Q12" i="4"/>
  <c r="X12" i="4"/>
  <c r="AC12" i="4"/>
  <c r="K12" i="4"/>
  <c r="P12" i="4"/>
  <c r="M12" i="4"/>
  <c r="O12" i="4"/>
  <c r="F12" i="4"/>
  <c r="AD12" i="4"/>
  <c r="Z12" i="4"/>
  <c r="T12" i="4"/>
  <c r="Y12" i="4"/>
  <c r="J12" i="4"/>
  <c r="N12" i="4"/>
  <c r="I12" i="4"/>
  <c r="W12" i="4"/>
  <c r="V12" i="4"/>
  <c r="S12" i="4"/>
  <c r="H12" i="4"/>
  <c r="U12" i="4"/>
  <c r="R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4" authorId="0" shapeId="0" xr:uid="{00000000-0006-0000-0100-000001000000}">
      <text>
        <r>
          <rPr>
            <sz val="8"/>
            <color indexed="8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"/>
            <rFont val="Tahoma"/>
            <family val="2"/>
          </rPr>
          <t xml:space="preserve">Use the following statuses:
</t>
        </r>
        <r>
          <rPr>
            <sz val="8"/>
            <color indexed="8"/>
            <rFont val="Tahoma"/>
            <family val="2"/>
          </rPr>
          <t>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B15" authorId="0" shapeId="0" xr:uid="{00000000-0006-0000-0200-000001000000}">
      <text>
        <r>
          <rPr>
            <sz val="8"/>
            <color indexed="8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9" authorId="0" shapeId="0" xr:uid="{00000000-0006-0000-0300-000001000000}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9" authorId="0" shapeId="0" xr:uid="{00000000-0006-0000-0400-000001000000}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<sst xmlns="http://schemas.openxmlformats.org/spreadsheetml/2006/main" count="220" uniqueCount="136">
  <si>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</si>
  <si>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</si>
  <si>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</si>
  <si>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</si>
  <si>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</si>
  <si>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</si>
  <si>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</si>
  <si>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</si>
  <si>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</si>
  <si>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</si>
  <si>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</si>
  <si>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</si>
  <si>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</si>
  <si>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</si>
  <si>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</si>
  <si>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</si>
  <si>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</si>
  <si>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</si>
  <si>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</si>
  <si>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</si>
  <si>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</si>
  <si>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Login System</t>
  </si>
  <si>
    <t>Users should be able to login to the system to edit profiles and use the system</t>
  </si>
  <si>
    <t>Student Search for Appropriate Professors</t>
  </si>
  <si>
    <t>Student Users should be able to enter their research ideas etc. and receive a filtered list of appropriate professors to contact</t>
  </si>
  <si>
    <t>Straightforward User Interface</t>
  </si>
  <si>
    <t>The UI should be straightforward to use e.g. users shouldn’t have to follow several links to perform a simple task using the system</t>
  </si>
  <si>
    <t>Professor Profile Setup</t>
  </si>
  <si>
    <t>Professors should be able to set up a profile for student searches to match against (and use keywords/tags)</t>
  </si>
  <si>
    <t>Contact Request System</t>
  </si>
  <si>
    <t>Students should be able to request an email to be sent to their selected professor</t>
  </si>
  <si>
    <t>Security</t>
  </si>
  <si>
    <t>The data of the users should be protected e.g. the system shouldn’t be vulnerable to SQL injections, XSS attacks etc.</t>
  </si>
  <si>
    <t>Forwarding/Recommending system</t>
  </si>
  <si>
    <t xml:space="preserve">Professors should be able to forward student applications to other professors who they think would be better options for the student, </t>
  </si>
  <si>
    <t>Error Messages and Testing</t>
  </si>
  <si>
    <t>The system should provide useful error messages to the user (and provide user with an error code)</t>
  </si>
  <si>
    <t>Contact Request Approval/Denial</t>
  </si>
  <si>
    <t>Professors should be able to accept or deny student requests to contact them about research.</t>
  </si>
  <si>
    <t>Student Users should be able to set up profiles about their research ideas, contact information etc.</t>
  </si>
  <si>
    <t>Student Approve/Decline Notification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</si>
  <si>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</si>
  <si>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</si>
  <si>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</si>
  <si>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</si>
  <si>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</si>
  <si>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</si>
  <si>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</si>
  <si>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</si>
  <si>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</si>
  <si>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</si>
  <si>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</si>
  <si>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</si>
  <si>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</si>
  <si>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</si>
  <si>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</si>
  <si>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</si>
  <si>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</si>
  <si>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</si>
  <si>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</si>
  <si>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</si>
  <si>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</si>
  <si>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</si>
  <si>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</si>
  <si>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</si>
  <si>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</si>
  <si>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</si>
  <si>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</si>
  <si>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</si>
  <si>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</si>
  <si>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</si>
  <si>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</si>
  <si>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</si>
  <si>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</si>
  <si>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</si>
  <si>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</si>
  <si>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</si>
  <si>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</si>
  <si>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</si>
  <si>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</si>
  <si>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</si>
  <si>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</si>
  <si>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</si>
  <si>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</si>
  <si>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</si>
  <si>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</si>
  <si>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</si>
  <si>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</si>
  <si>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</si>
  <si>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</si>
  <si>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</si>
  <si>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</si>
  <si>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</si>
  <si>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</si>
  <si>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</si>
  <si>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</si>
  <si>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</si>
  <si>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</si>
  <si>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</si>
  <si>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</si>
  <si>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</si>
  <si>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</si>
  <si>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</si>
  <si>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</si>
  <si>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Example task</t>
  </si>
  <si>
    <t>Example task 2</t>
  </si>
  <si>
    <t>Example task 3</t>
  </si>
  <si>
    <t>&lt;Delete these example lines&gt;</t>
  </si>
  <si>
    <t>Story ID:</t>
  </si>
  <si>
    <t>Story:</t>
  </si>
  <si>
    <t>This is a sample story</t>
  </si>
  <si>
    <t>Task:</t>
  </si>
  <si>
    <t>Initial 
Estimate</t>
  </si>
  <si>
    <t>Work 
Done</t>
  </si>
  <si>
    <t>Work 
Left</t>
  </si>
  <si>
    <t>This is another sample story</t>
  </si>
  <si>
    <t>Functional entity relational database</t>
  </si>
  <si>
    <t>Database should be structured efficiently as an ERD, with approprite domains and DAOs.</t>
  </si>
  <si>
    <t>Our goal in sprint 1 is to construct the user interface, relational database modeling with domain/dao classes and user profile setup</t>
  </si>
  <si>
    <t>Need another user story</t>
  </si>
  <si>
    <t>Login system</t>
  </si>
  <si>
    <t>Hugo Baird</t>
  </si>
  <si>
    <t>Professor profile setup</t>
  </si>
  <si>
    <t>Student Profile Setup</t>
  </si>
  <si>
    <t>Leon Hoogenraad</t>
  </si>
  <si>
    <t>Functional Entity Relational Database</t>
  </si>
  <si>
    <t xml:space="preserve">Student profile setup </t>
  </si>
  <si>
    <t>Cedric Stephani</t>
  </si>
  <si>
    <t>Robust HTTP requests/responses</t>
  </si>
  <si>
    <t>HTTP GET/POST/PULL requests and responses work accordingly and are reliable/aren't prone to errors.</t>
  </si>
  <si>
    <t>Students should be notified by email when a professor approves or declines their contact request.</t>
  </si>
  <si>
    <t>Robust HTTP request/responses</t>
  </si>
  <si>
    <t>Julia McDowell and Carly Ryan</t>
  </si>
  <si>
    <t>Sprint 2 Backlog</t>
  </si>
  <si>
    <t>Our objective in sprint 3 is to perform testing and develop security, error messages and overall system robustness. The forwarding system will be developed if there is enough time remaining in the sprint.</t>
  </si>
  <si>
    <t>Our primary focus in sprint 2 is on application functionality, contact/application request and the notification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</si>
</sst>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&quot;Last &quot;###&quot; sprints&quot;"/>
    <numFmt numFmtId="166" formatCode="0.0"/>
    <numFmt numFmtId="167" formatCode="&quot;Sprint &quot;#&quot; Backlog&quot;"/>
  </numFmts>
  <fonts count="10" x14ac:knownFonts="1">
    <font>
      <sz val="10"/>
      <name val="Arial"/>
    </font>
    <font>
      <sz val="14"/>
      <name val="Arial"/>
    </font>
    <font>
      <b/>
      <sz val="10"/>
      <name val="Arial"/>
      <family val="2"/>
    </font>
    <font>
      <i/>
      <sz val="10"/>
      <color indexed="12"/>
      <name val="Arial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45"/>
      </patternFill>
    </fill>
    <fill>
      <patternFill patternType="solid">
        <fgColor indexed="43"/>
        <bgColor indexed="26"/>
      </patternFill>
    </fill>
  </fills>
  <borders count="3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/>
      <right/>
      <top/>
      <bottom style="medium">
        <color indexed="63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 style="thin">
        <color indexed="63"/>
      </right>
      <top style="medium">
        <color indexed="63"/>
      </top>
      <bottom style="thin">
        <color indexed="63"/>
      </bottom>
      <diagonal/>
    </border>
    <border>
      <left style="thin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thin">
        <color indexed="63"/>
      </right>
      <top style="thin">
        <color indexed="63"/>
      </top>
      <bottom style="medium">
        <color indexed="63"/>
      </bottom>
      <diagonal/>
    </border>
    <border>
      <left style="thin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medium">
        <color indexed="63"/>
      </right>
      <top style="thin">
        <color indexed="63"/>
      </top>
      <bottom style="medium">
        <color indexed="63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5" xfId="0" applyFont="1" applyBorder="1"/>
    <xf numFmtId="0" fontId="2" fillId="0" borderId="0" xfId="0" applyFont="1"/>
    <xf numFmtId="0" fontId="0" fillId="2" borderId="6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4" xfId="0" applyNumberFormat="1" applyFill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0" borderId="0" xfId="0" applyBorder="1"/>
    <xf numFmtId="164" fontId="0" fillId="0" borderId="4" xfId="0" applyNumberFormat="1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9" xfId="0" applyBorder="1"/>
    <xf numFmtId="0" fontId="0" fillId="2" borderId="10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11" xfId="0" applyNumberFormat="1" applyFill="1" applyBorder="1" applyAlignment="1">
      <alignment horizontal="center"/>
    </xf>
    <xf numFmtId="0" fontId="0" fillId="0" borderId="11" xfId="0" applyBorder="1"/>
    <xf numFmtId="164" fontId="0" fillId="0" borderId="11" xfId="0" applyNumberFormat="1" applyBorder="1" applyAlignment="1">
      <alignment horizontal="center"/>
    </xf>
    <xf numFmtId="0" fontId="0" fillId="0" borderId="12" xfId="0" applyBorder="1"/>
    <xf numFmtId="0" fontId="3" fillId="0" borderId="0" xfId="0" applyFont="1"/>
    <xf numFmtId="0" fontId="2" fillId="0" borderId="7" xfId="0" applyFont="1" applyBorder="1"/>
    <xf numFmtId="0" fontId="2" fillId="0" borderId="1" xfId="0" applyFont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9" xfId="0" applyNumberFormat="1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2" xfId="0" applyNumberFormat="1" applyFill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4" xfId="0" applyBorder="1"/>
    <xf numFmtId="0" fontId="2" fillId="0" borderId="4" xfId="0" applyFon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17" fontId="0" fillId="0" borderId="0" xfId="0" applyNumberFormat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0" fillId="3" borderId="0" xfId="0" applyFill="1"/>
    <xf numFmtId="166" fontId="0" fillId="3" borderId="0" xfId="0" applyNumberFormat="1" applyFill="1"/>
    <xf numFmtId="0" fontId="6" fillId="0" borderId="0" xfId="0" applyFont="1"/>
    <xf numFmtId="1" fontId="0" fillId="3" borderId="0" xfId="0" applyNumberFormat="1" applyFill="1"/>
    <xf numFmtId="0" fontId="2" fillId="2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wrapText="1"/>
    </xf>
    <xf numFmtId="0" fontId="2" fillId="2" borderId="15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left" wrapText="1"/>
    </xf>
    <xf numFmtId="0" fontId="0" fillId="0" borderId="0" xfId="0" applyAlignment="1"/>
    <xf numFmtId="0" fontId="0" fillId="3" borderId="0" xfId="0" applyFill="1" applyAlignment="1">
      <alignment horizontal="center"/>
    </xf>
    <xf numFmtId="166" fontId="0" fillId="0" borderId="0" xfId="0" applyNumberFormat="1"/>
    <xf numFmtId="167" fontId="8" fillId="0" borderId="0" xfId="0" applyNumberFormat="1" applyFont="1" applyAlignment="1">
      <alignment horizontal="left" vertical="top"/>
    </xf>
    <xf numFmtId="167" fontId="8" fillId="0" borderId="0" xfId="0" applyNumberFormat="1" applyFont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0" fillId="0" borderId="0" xfId="0" applyFont="1"/>
    <xf numFmtId="167" fontId="8" fillId="0" borderId="0" xfId="0" applyNumberFormat="1" applyFont="1" applyAlignment="1">
      <alignment horizontal="left"/>
    </xf>
    <xf numFmtId="167" fontId="8" fillId="0" borderId="0" xfId="0" applyNumberFormat="1" applyFont="1" applyAlignment="1">
      <alignment horizontal="center"/>
    </xf>
    <xf numFmtId="0" fontId="2" fillId="2" borderId="0" xfId="0" applyFont="1" applyFill="1"/>
    <xf numFmtId="0" fontId="0" fillId="0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Alignment="1"/>
    <xf numFmtId="0" fontId="0" fillId="2" borderId="0" xfId="0" applyFill="1" applyAlignme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6" xfId="0" applyFont="1" applyBorder="1" applyAlignment="1">
      <alignment vertical="top"/>
    </xf>
    <xf numFmtId="0" fontId="2" fillId="0" borderId="17" xfId="0" applyFont="1" applyBorder="1" applyAlignment="1">
      <alignment horizontal="center" vertical="top"/>
    </xf>
    <xf numFmtId="0" fontId="0" fillId="0" borderId="18" xfId="0" applyFont="1" applyBorder="1" applyAlignment="1">
      <alignment vertical="top"/>
    </xf>
    <xf numFmtId="0" fontId="0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Font="1" applyBorder="1" applyAlignment="1">
      <alignment vertical="top"/>
    </xf>
    <xf numFmtId="0" fontId="0" fillId="0" borderId="4" xfId="0" applyFont="1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29" xfId="0" applyFont="1" applyBorder="1" applyAlignment="1">
      <alignment vertical="top" wrapText="1"/>
    </xf>
    <xf numFmtId="0" fontId="9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vertical="top" wrapText="1"/>
    </xf>
    <xf numFmtId="0" fontId="0" fillId="0" borderId="30" xfId="0" applyBorder="1" applyAlignment="1">
      <alignment vertical="top"/>
    </xf>
    <xf numFmtId="0" fontId="0" fillId="0" borderId="32" xfId="0" applyBorder="1" applyAlignment="1">
      <alignment vertical="top"/>
    </xf>
    <xf numFmtId="0" fontId="2" fillId="2" borderId="0" xfId="0" applyFont="1" applyFill="1" applyBorder="1" applyAlignment="1">
      <alignment horizontal="center" wrapText="1"/>
    </xf>
    <xf numFmtId="165" fontId="0" fillId="0" borderId="0" xfId="0" applyNumberFormat="1" applyBorder="1" applyAlignment="1">
      <alignment horizontal="left"/>
    </xf>
    <xf numFmtId="0" fontId="2" fillId="2" borderId="0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BFBF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0303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18997912317327767"/>
          <c:y val="2.84810126582278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665970772442591E-2"/>
          <c:y val="0.21202564407641306"/>
          <c:w val="0.93110647181628392"/>
          <c:h val="0.7753176537122566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5423"/>
        <c:axId val="1"/>
      </c:barChart>
      <c:catAx>
        <c:axId val="745455423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54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6875043744531929"/>
          <c:y val="4.28571428571428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166776869256326E-2"/>
          <c:y val="0.21714285714285714"/>
          <c:w val="0.91458519406167416"/>
          <c:h val="0.6628571428571428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5823"/>
        <c:axId val="1"/>
      </c:barChart>
      <c:catAx>
        <c:axId val="745455823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582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1425554382261"/>
          <c:y val="0.11764748121367048"/>
          <c:w val="0.81626187961985219"/>
          <c:h val="0.80147346576813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37</c:v>
                </c:pt>
                <c:pt idx="1">
                  <c:v>34</c:v>
                </c:pt>
                <c:pt idx="2">
                  <c:v>31</c:v>
                </c:pt>
                <c:pt idx="3">
                  <c:v>26</c:v>
                </c:pt>
                <c:pt idx="4">
                  <c:v>25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14</c:v>
                </c:pt>
                <c:pt idx="9">
                  <c:v>12</c:v>
                </c:pt>
                <c:pt idx="10">
                  <c:v>11</c:v>
                </c:pt>
                <c:pt idx="11">
                  <c:v>7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B5-496C-A057-4C2D38FEDDA8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'Sp1'!$F$11:$AD$11</c:f>
              <c:numCache>
                <c:formatCode>General</c:formatCode>
                <c:ptCount val="25"/>
                <c:pt idx="0">
                  <c:v>40</c:v>
                </c:pt>
                <c:pt idx="1">
                  <c:v>37.142857142857146</c:v>
                </c:pt>
                <c:pt idx="2">
                  <c:v>34.285714285714285</c:v>
                </c:pt>
                <c:pt idx="3">
                  <c:v>31.428571428571431</c:v>
                </c:pt>
                <c:pt idx="4">
                  <c:v>28.571428571428569</c:v>
                </c:pt>
                <c:pt idx="5">
                  <c:v>25.714285714285715</c:v>
                </c:pt>
                <c:pt idx="6">
                  <c:v>22.857142857142858</c:v>
                </c:pt>
                <c:pt idx="7">
                  <c:v>20</c:v>
                </c:pt>
                <c:pt idx="8">
                  <c:v>17.142857142857142</c:v>
                </c:pt>
                <c:pt idx="9">
                  <c:v>14.285714285714285</c:v>
                </c:pt>
                <c:pt idx="10">
                  <c:v>11.428571428571427</c:v>
                </c:pt>
                <c:pt idx="11">
                  <c:v>8.5714285714285694</c:v>
                </c:pt>
                <c:pt idx="12">
                  <c:v>5.7142857142857153</c:v>
                </c:pt>
                <c:pt idx="13">
                  <c:v>2.8571428571428541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3023"/>
        <c:axId val="1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35.879120879120876</c:v>
                </c:pt>
                <c:pt idx="1">
                  <c:v>33.258241758241759</c:v>
                </c:pt>
                <c:pt idx="2">
                  <c:v>30.637362637362635</c:v>
                </c:pt>
                <c:pt idx="3">
                  <c:v>28.016483516483515</c:v>
                </c:pt>
                <c:pt idx="4">
                  <c:v>25.395604395604394</c:v>
                </c:pt>
                <c:pt idx="5">
                  <c:v>22.77472527472527</c:v>
                </c:pt>
                <c:pt idx="6">
                  <c:v>20.15384615384615</c:v>
                </c:pt>
                <c:pt idx="7">
                  <c:v>17.532967032967029</c:v>
                </c:pt>
                <c:pt idx="8">
                  <c:v>14.912087912087909</c:v>
                </c:pt>
                <c:pt idx="9">
                  <c:v>12.291208791208788</c:v>
                </c:pt>
                <c:pt idx="10">
                  <c:v>9.6703296703296644</c:v>
                </c:pt>
                <c:pt idx="11">
                  <c:v>7.0494505494505439</c:v>
                </c:pt>
                <c:pt idx="12">
                  <c:v>4.4285714285714235</c:v>
                </c:pt>
                <c:pt idx="13">
                  <c:v>1.8076923076922995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53023"/>
        <c:axId val="1"/>
      </c:lineChart>
      <c:catAx>
        <c:axId val="74545302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At val="0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677"/>
              <c:y val="0.154412536668210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3023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7296726504746E-3"/>
          <c:y val="8.8235294117647065E-2"/>
          <c:w val="0.11404435058078141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62618796198521"/>
          <c:y val="0.11764748121367048"/>
          <c:w val="0.81414994720168954"/>
          <c:h val="0.801473465768130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6-4B01-A0AC-1B77164DE10C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'Sp2'!$F$11:$AD$11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5458223"/>
        <c:axId val="1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458223"/>
        <c:axId val="1"/>
      </c:lineChart>
      <c:catAx>
        <c:axId val="74545822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At val="0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677"/>
              <c:y val="0.154412536668210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5458223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7634635691657E-3"/>
          <c:y val="8.8235294117647065E-2"/>
          <c:w val="0.11404435058078141"/>
          <c:h val="0.426472132159950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66675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2054" name="Button 4" descr="Sort Product Backlog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12CF376-1942-49C5-9052-F853ECE302E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1</xdr:row>
      <xdr:rowOff>47625</xdr:rowOff>
    </xdr:from>
    <xdr:to>
      <xdr:col>24</xdr:col>
      <xdr:colOff>533400</xdr:colOff>
      <xdr:row>19</xdr:row>
      <xdr:rowOff>142875</xdr:rowOff>
    </xdr:to>
    <xdr:graphicFrame macro="">
      <xdr:nvGraphicFramePr>
        <xdr:cNvPr id="3160" name="Chart 4">
          <a:extLst>
            <a:ext uri="{FF2B5EF4-FFF2-40B4-BE49-F238E27FC236}">
              <a16:creationId xmlns:a16="http://schemas.microsoft.com/office/drawing/2014/main" id="{7EADD8AC-2066-4F66-9BA6-23B6FA356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3161" name="Chart 5">
          <a:extLst>
            <a:ext uri="{FF2B5EF4-FFF2-40B4-BE49-F238E27FC236}">
              <a16:creationId xmlns:a16="http://schemas.microsoft.com/office/drawing/2014/main" id="{9322381E-E504-4214-AE50-2AD0001AA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4142" name="Chart 2">
          <a:extLst>
            <a:ext uri="{FF2B5EF4-FFF2-40B4-BE49-F238E27FC236}">
              <a16:creationId xmlns:a16="http://schemas.microsoft.com/office/drawing/2014/main" id="{A173B940-C941-4812-857D-E9F818272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4099" name="Button 3" descr="Sort Sprint Tasks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id="{EAF7E941-22C8-4107-BC24-91AB719314E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4100" name="Button 7" descr="Update Task Slips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4B0F2A1B-0309-4678-8284-D6DD3E6C0AD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5166" name="Chart 2">
          <a:extLst>
            <a:ext uri="{FF2B5EF4-FFF2-40B4-BE49-F238E27FC236}">
              <a16:creationId xmlns:a16="http://schemas.microsoft.com/office/drawing/2014/main" id="{4D9A2A3C-9897-4EE5-9FD9-5011196F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1733550</xdr:colOff>
      <xdr:row>7</xdr:row>
      <xdr:rowOff>28575</xdr:rowOff>
    </xdr:to>
    <xdr:sp macro="" textlink="">
      <xdr:nvSpPr>
        <xdr:cNvPr id="5123" name="Button 13" descr="Sort Sprint Tasks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84866D77-D0A2-445B-A3AE-3A18FE5843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5124" name="Button 14" descr="Update Task Slips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id="{39F1015A-78E4-4A22-BEB8-1962FBD90BC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topLeftCell="A5" workbookViewId="0">
      <selection activeCell="H22" sqref="H22"/>
    </sheetView>
  </sheetViews>
  <sheetFormatPr defaultColWidth="9" defaultRowHeight="13.2" x14ac:dyDescent="0.25"/>
  <cols>
    <col min="1" max="1" width="7.88671875" customWidth="1"/>
    <col min="2" max="2" width="10.44140625" customWidth="1"/>
    <col min="3" max="3" width="9.5546875" customWidth="1"/>
    <col min="4" max="5" width="10.6640625" customWidth="1"/>
    <col min="6" max="6" width="9" customWidth="1"/>
    <col min="7" max="7" width="13.6640625" style="1" customWidth="1"/>
    <col min="8" max="8" width="79.109375" customWidth="1"/>
    <col min="9" max="9" width="10.6640625" customWidth="1"/>
  </cols>
  <sheetData>
    <row r="1" spans="1:10" ht="17.399999999999999" x14ac:dyDescent="0.3">
      <c r="A1" s="2" t="s">
        <v>0</v>
      </c>
    </row>
    <row r="3" spans="1:10" x14ac:dyDescent="0.25">
      <c r="A3" s="3" t="s">
        <v>1</v>
      </c>
      <c r="B3" s="4" t="s">
        <v>2</v>
      </c>
      <c r="C3" s="5" t="s">
        <v>3</v>
      </c>
      <c r="D3" s="5" t="s">
        <v>4</v>
      </c>
      <c r="E3" s="4" t="s">
        <v>5</v>
      </c>
      <c r="F3" s="6" t="s">
        <v>6</v>
      </c>
      <c r="G3" s="4" t="s">
        <v>7</v>
      </c>
      <c r="H3" s="7" t="s">
        <v>8</v>
      </c>
      <c r="I3" s="8"/>
      <c r="J3" s="8"/>
    </row>
    <row r="4" spans="1:10" x14ac:dyDescent="0.25">
      <c r="A4" s="9">
        <v>1</v>
      </c>
      <c r="B4" s="10">
        <f>IF(OR(B16="",A4=""),"",B16)</f>
        <v>43927</v>
      </c>
      <c r="C4" s="11">
        <f t="shared" ref="C4:C10" si="0">IF(A4="","",SUMIF(I$16:I$30,A4,C$16:C$30))</f>
        <v>14</v>
      </c>
      <c r="D4" s="10">
        <f t="shared" ref="D4:D10" si="1">IF(OR(B4="",C4=""),"",B4+C4-1)</f>
        <v>43940</v>
      </c>
      <c r="E4" s="12">
        <f>IF(A4="","",SUMIF(I$16:I$30,'Release Plan'!A4,E$16:E$30))</f>
        <v>40</v>
      </c>
      <c r="F4" s="13"/>
      <c r="G4" s="14"/>
      <c r="H4" s="15"/>
    </row>
    <row r="5" spans="1:10" x14ac:dyDescent="0.25">
      <c r="A5" s="16">
        <v>2</v>
      </c>
      <c r="B5" s="17">
        <f>IF(A5="","",B4+C4)</f>
        <v>43941</v>
      </c>
      <c r="C5" s="12">
        <f t="shared" si="0"/>
        <v>14</v>
      </c>
      <c r="D5" s="17">
        <f t="shared" si="1"/>
        <v>43954</v>
      </c>
      <c r="E5" s="12">
        <f>IF(A5="","",SUMIF(I$16:I$30,'Release Plan'!A5,E$16:E$30))</f>
        <v>31</v>
      </c>
      <c r="F5" s="13"/>
      <c r="G5" s="18"/>
      <c r="H5" s="19"/>
    </row>
    <row r="6" spans="1:10" x14ac:dyDescent="0.25">
      <c r="A6" s="16">
        <v>3</v>
      </c>
      <c r="B6" s="17">
        <v>43955</v>
      </c>
      <c r="C6" s="12">
        <f t="shared" si="0"/>
        <v>14</v>
      </c>
      <c r="D6" s="17">
        <f>IF(OR(B6="",C6=""),"",B6+C6-1)</f>
        <v>43968</v>
      </c>
      <c r="E6" s="12">
        <f>IF(A6="","",SUMIF(I$16:I$30,'Release Plan'!A6,E$16:E$30))</f>
        <v>31</v>
      </c>
      <c r="F6" s="13"/>
      <c r="G6" s="18"/>
      <c r="H6" s="19"/>
    </row>
    <row r="7" spans="1:10" x14ac:dyDescent="0.25">
      <c r="A7" s="16"/>
      <c r="B7" s="17"/>
      <c r="C7" s="12" t="str">
        <f t="shared" si="0"/>
        <v/>
      </c>
      <c r="D7" s="17" t="str">
        <f t="shared" si="1"/>
        <v/>
      </c>
      <c r="E7" s="12" t="str">
        <f>IF(A7="","",SUMIF(I$16:I$30,'Release Plan'!A7,E$16:E$30))</f>
        <v/>
      </c>
      <c r="F7" s="13"/>
      <c r="G7" s="18"/>
      <c r="H7" s="19"/>
    </row>
    <row r="8" spans="1:10" x14ac:dyDescent="0.25">
      <c r="A8" s="16"/>
      <c r="B8" s="17"/>
      <c r="C8" s="12" t="str">
        <f t="shared" si="0"/>
        <v/>
      </c>
      <c r="D8" s="17" t="str">
        <f t="shared" si="1"/>
        <v/>
      </c>
      <c r="E8" s="12" t="str">
        <f>IF(A8="","",SUMIF(I$16:I$30,'Release Plan'!A8,E$16:E$30))</f>
        <v/>
      </c>
      <c r="F8" s="13"/>
      <c r="G8" s="18"/>
      <c r="H8" s="19"/>
    </row>
    <row r="9" spans="1:10" x14ac:dyDescent="0.25">
      <c r="A9" s="16"/>
      <c r="B9" s="17"/>
      <c r="C9" s="12" t="str">
        <f t="shared" si="0"/>
        <v/>
      </c>
      <c r="D9" s="17" t="str">
        <f t="shared" si="1"/>
        <v/>
      </c>
      <c r="E9" s="12" t="str">
        <f>IF(A9="","",SUMIF(I$16:I$30,'Release Plan'!A9,E$16:E$30))</f>
        <v/>
      </c>
      <c r="F9" s="13"/>
      <c r="G9" s="18"/>
      <c r="H9" s="19"/>
    </row>
    <row r="10" spans="1:10" x14ac:dyDescent="0.25">
      <c r="A10" s="20"/>
      <c r="B10" s="21"/>
      <c r="C10" s="22" t="str">
        <f t="shared" si="0"/>
        <v/>
      </c>
      <c r="D10" s="21" t="str">
        <f t="shared" si="1"/>
        <v/>
      </c>
      <c r="E10" s="22" t="str">
        <f>IF(A10="","",SUMIF(I$16:I$30,'Release Plan'!A10,E$16:E$30))</f>
        <v/>
      </c>
      <c r="F10" s="23"/>
      <c r="G10" s="24"/>
      <c r="H10" s="25"/>
    </row>
    <row r="11" spans="1:10" x14ac:dyDescent="0.25">
      <c r="A11" s="26" t="s">
        <v>9</v>
      </c>
    </row>
    <row r="13" spans="1:10" ht="17.399999999999999" x14ac:dyDescent="0.3">
      <c r="A13" s="2" t="s">
        <v>10</v>
      </c>
    </row>
    <row r="15" spans="1:10" x14ac:dyDescent="0.25">
      <c r="A15" s="3" t="s">
        <v>11</v>
      </c>
      <c r="B15" s="4" t="s">
        <v>2</v>
      </c>
      <c r="C15" s="4" t="s">
        <v>3</v>
      </c>
      <c r="D15" s="4" t="s">
        <v>4</v>
      </c>
      <c r="E15" s="4" t="s">
        <v>5</v>
      </c>
      <c r="F15" s="6" t="s">
        <v>6</v>
      </c>
      <c r="G15" s="4" t="s">
        <v>7</v>
      </c>
      <c r="H15" s="27" t="s">
        <v>8</v>
      </c>
      <c r="I15" s="28" t="s">
        <v>12</v>
      </c>
      <c r="J15" s="8"/>
    </row>
    <row r="16" spans="1:10" x14ac:dyDescent="0.25">
      <c r="A16" s="12">
        <v>1</v>
      </c>
      <c r="B16" s="29">
        <v>43927</v>
      </c>
      <c r="C16" s="30">
        <v>14</v>
      </c>
      <c r="D16" s="31">
        <f>IF(AND(B16&lt;&gt;"",C16&lt;&gt;""),B16+C16-1,"")</f>
        <v>43940</v>
      </c>
      <c r="E16" s="12">
        <v>40</v>
      </c>
      <c r="F16" s="13" t="s">
        <v>13</v>
      </c>
      <c r="G16" s="30"/>
      <c r="H16" s="32" t="s">
        <v>118</v>
      </c>
      <c r="I16" s="33">
        <v>1</v>
      </c>
    </row>
    <row r="17" spans="1:9" x14ac:dyDescent="0.25">
      <c r="A17" s="12">
        <v>2</v>
      </c>
      <c r="B17" s="31">
        <f t="shared" ref="B17:B30" si="2">IF(AND(B16&lt;&gt;"",C16&lt;&gt;"",C17&lt;&gt;""),B16+C16,"")</f>
        <v>43941</v>
      </c>
      <c r="C17" s="30">
        <v>14</v>
      </c>
      <c r="D17" s="31">
        <f t="shared" ref="D17:D30" si="3">IF(AND(B17&lt;&gt;"",C17&lt;&gt;""),B17+C17-1,"")</f>
        <v>43954</v>
      </c>
      <c r="E17" s="12">
        <v>31</v>
      </c>
      <c r="F17" s="13" t="s">
        <v>13</v>
      </c>
      <c r="G17" s="30"/>
      <c r="H17" s="34" t="s">
        <v>135</v>
      </c>
      <c r="I17" s="35">
        <v>2</v>
      </c>
    </row>
    <row r="18" spans="1:9" x14ac:dyDescent="0.25">
      <c r="A18" s="12">
        <v>3</v>
      </c>
      <c r="B18" s="31">
        <f t="shared" si="2"/>
        <v>43955</v>
      </c>
      <c r="C18" s="30">
        <v>14</v>
      </c>
      <c r="D18" s="31">
        <f t="shared" si="3"/>
        <v>43968</v>
      </c>
      <c r="E18" s="12">
        <v>31</v>
      </c>
      <c r="F18" s="13" t="str">
        <f t="shared" ref="F18:F30" si="4">IF(AND(OR(F17="Planned",F17="Ongoing"),C18&lt;&gt;""),"Planned","Unplanned")</f>
        <v>Planned</v>
      </c>
      <c r="G18" s="30"/>
      <c r="H18" s="34" t="s">
        <v>134</v>
      </c>
      <c r="I18" s="35">
        <v>3</v>
      </c>
    </row>
    <row r="19" spans="1:9" x14ac:dyDescent="0.25">
      <c r="A19" s="12"/>
      <c r="B19" s="31"/>
      <c r="C19" s="30"/>
      <c r="D19" s="31"/>
      <c r="E19" s="12"/>
      <c r="F19" s="13"/>
      <c r="G19" s="30"/>
      <c r="H19" s="34"/>
      <c r="I19" s="35"/>
    </row>
    <row r="20" spans="1:9" x14ac:dyDescent="0.25">
      <c r="A20" s="12"/>
      <c r="B20" s="31"/>
      <c r="C20" s="30"/>
      <c r="D20" s="31"/>
      <c r="E20" s="12"/>
      <c r="F20" s="13"/>
      <c r="G20" s="30"/>
      <c r="H20" s="34"/>
      <c r="I20" s="35"/>
    </row>
    <row r="21" spans="1:9" x14ac:dyDescent="0.25">
      <c r="A21" s="12"/>
      <c r="B21" s="31"/>
      <c r="C21" s="30"/>
      <c r="D21" s="31"/>
      <c r="E21" s="12"/>
      <c r="F21" s="13"/>
      <c r="G21" s="30"/>
      <c r="H21" s="34"/>
      <c r="I21" s="35"/>
    </row>
    <row r="22" spans="1:9" x14ac:dyDescent="0.25">
      <c r="A22" s="12" t="str">
        <f t="shared" ref="A22:A30" si="5">IF(AND(B22&lt;&gt;"",C22&lt;&gt;""),A21+1,"")</f>
        <v/>
      </c>
      <c r="B22" s="31" t="str">
        <f t="shared" si="2"/>
        <v/>
      </c>
      <c r="C22" s="30"/>
      <c r="D22" s="31" t="str">
        <f t="shared" si="3"/>
        <v/>
      </c>
      <c r="E22" s="12" t="str">
        <f>IF(A22="","",SUMIF('Product Backlog'!E$6:E$100,'Release Plan'!A22,'Product Backlog'!D$6:D$100))</f>
        <v/>
      </c>
      <c r="F22" s="13" t="str">
        <f t="shared" si="4"/>
        <v>Unplanned</v>
      </c>
      <c r="G22" s="30"/>
      <c r="H22" s="34"/>
      <c r="I22" s="35"/>
    </row>
    <row r="23" spans="1:9" x14ac:dyDescent="0.25">
      <c r="A23" s="12" t="str">
        <f t="shared" si="5"/>
        <v/>
      </c>
      <c r="B23" s="31" t="str">
        <f t="shared" si="2"/>
        <v/>
      </c>
      <c r="C23" s="30"/>
      <c r="D23" s="31" t="str">
        <f t="shared" si="3"/>
        <v/>
      </c>
      <c r="E23" s="12" t="str">
        <f>IF(A23="","",SUMIF('Product Backlog'!E$6:E$100,'Release Plan'!A23,'Product Backlog'!D$6:D$100))</f>
        <v/>
      </c>
      <c r="F23" s="13" t="str">
        <f t="shared" si="4"/>
        <v>Unplanned</v>
      </c>
      <c r="G23" s="30"/>
      <c r="H23" s="34"/>
      <c r="I23" s="35"/>
    </row>
    <row r="24" spans="1:9" x14ac:dyDescent="0.25">
      <c r="A24" s="12" t="str">
        <f t="shared" si="5"/>
        <v/>
      </c>
      <c r="B24" s="31" t="str">
        <f t="shared" si="2"/>
        <v/>
      </c>
      <c r="C24" s="30"/>
      <c r="D24" s="31" t="str">
        <f t="shared" si="3"/>
        <v/>
      </c>
      <c r="E24" s="12" t="str">
        <f>IF(A24="","",SUMIF('Product Backlog'!E$6:E$100,'Release Plan'!A24,'Product Backlog'!D$6:D$100))</f>
        <v/>
      </c>
      <c r="F24" s="13" t="str">
        <f t="shared" si="4"/>
        <v>Unplanned</v>
      </c>
      <c r="G24" s="30"/>
      <c r="H24" s="34"/>
      <c r="I24" s="35"/>
    </row>
    <row r="25" spans="1:9" x14ac:dyDescent="0.25">
      <c r="A25" s="12" t="str">
        <f t="shared" si="5"/>
        <v/>
      </c>
      <c r="B25" s="31" t="str">
        <f t="shared" si="2"/>
        <v/>
      </c>
      <c r="C25" s="30"/>
      <c r="D25" s="31" t="str">
        <f t="shared" si="3"/>
        <v/>
      </c>
      <c r="E25" s="12" t="str">
        <f>IF(A25="","",SUMIF('Product Backlog'!E$6:E$100,'Release Plan'!A25,'Product Backlog'!D$6:D$100))</f>
        <v/>
      </c>
      <c r="F25" s="13" t="str">
        <f t="shared" si="4"/>
        <v>Unplanned</v>
      </c>
      <c r="G25" s="30"/>
      <c r="H25" s="34"/>
      <c r="I25" s="35"/>
    </row>
    <row r="26" spans="1:9" x14ac:dyDescent="0.25">
      <c r="A26" s="12" t="str">
        <f t="shared" si="5"/>
        <v/>
      </c>
      <c r="B26" s="31" t="str">
        <f t="shared" si="2"/>
        <v/>
      </c>
      <c r="C26" s="30"/>
      <c r="D26" s="31" t="str">
        <f t="shared" si="3"/>
        <v/>
      </c>
      <c r="E26" s="12" t="str">
        <f>IF(A26="","",SUMIF('Product Backlog'!E$6:E$100,'Release Plan'!A26,'Product Backlog'!D$6:D$100))</f>
        <v/>
      </c>
      <c r="F26" s="13" t="str">
        <f t="shared" si="4"/>
        <v>Unplanned</v>
      </c>
      <c r="G26" s="30"/>
      <c r="H26" s="34"/>
      <c r="I26" s="35"/>
    </row>
    <row r="27" spans="1:9" x14ac:dyDescent="0.25">
      <c r="A27" s="12" t="str">
        <f t="shared" si="5"/>
        <v/>
      </c>
      <c r="B27" s="31" t="str">
        <f t="shared" si="2"/>
        <v/>
      </c>
      <c r="C27" s="30"/>
      <c r="D27" s="31" t="str">
        <f t="shared" si="3"/>
        <v/>
      </c>
      <c r="E27" s="12" t="str">
        <f>IF(A27="","",SUMIF('Product Backlog'!E$6:E$100,'Release Plan'!A27,'Product Backlog'!D$6:D$100))</f>
        <v/>
      </c>
      <c r="F27" s="13" t="str">
        <f t="shared" si="4"/>
        <v>Unplanned</v>
      </c>
      <c r="G27" s="30"/>
      <c r="H27" s="34"/>
      <c r="I27" s="35"/>
    </row>
    <row r="28" spans="1:9" x14ac:dyDescent="0.25">
      <c r="A28" s="12" t="str">
        <f t="shared" si="5"/>
        <v/>
      </c>
      <c r="B28" s="31" t="str">
        <f t="shared" si="2"/>
        <v/>
      </c>
      <c r="C28" s="30"/>
      <c r="D28" s="31" t="str">
        <f t="shared" si="3"/>
        <v/>
      </c>
      <c r="E28" s="12" t="str">
        <f>IF(A28="","",SUMIF('Product Backlog'!E$6:E$100,'Release Plan'!A28,'Product Backlog'!D$6:D$100))</f>
        <v/>
      </c>
      <c r="F28" s="13" t="str">
        <f t="shared" si="4"/>
        <v>Unplanned</v>
      </c>
      <c r="G28" s="30"/>
      <c r="H28" s="34"/>
      <c r="I28" s="35"/>
    </row>
    <row r="29" spans="1:9" x14ac:dyDescent="0.25">
      <c r="A29" s="12" t="str">
        <f t="shared" si="5"/>
        <v/>
      </c>
      <c r="B29" s="31" t="str">
        <f t="shared" si="2"/>
        <v/>
      </c>
      <c r="C29" s="30"/>
      <c r="D29" s="31" t="str">
        <f t="shared" si="3"/>
        <v/>
      </c>
      <c r="E29" s="12" t="str">
        <f>IF(A29="","",SUMIF('Product Backlog'!E$6:E$100,'Release Plan'!A29,'Product Backlog'!D$6:D$100))</f>
        <v/>
      </c>
      <c r="F29" s="13" t="str">
        <f t="shared" si="4"/>
        <v>Unplanned</v>
      </c>
      <c r="G29" s="30"/>
      <c r="H29" s="34"/>
      <c r="I29" s="35"/>
    </row>
    <row r="30" spans="1:9" x14ac:dyDescent="0.25">
      <c r="A30" s="12" t="str">
        <f t="shared" si="5"/>
        <v/>
      </c>
      <c r="B30" s="31" t="str">
        <f t="shared" si="2"/>
        <v/>
      </c>
      <c r="C30" s="30"/>
      <c r="D30" s="31" t="str">
        <f t="shared" si="3"/>
        <v/>
      </c>
      <c r="E30" s="12" t="str">
        <f>IF(A30="","",SUMIF('Product Backlog'!E$6:E$100,'Release Plan'!A30,'Product Backlog'!D$6:D$100))</f>
        <v/>
      </c>
      <c r="F30" s="13" t="str">
        <f t="shared" si="4"/>
        <v>Unplanned</v>
      </c>
      <c r="G30" s="30"/>
      <c r="H30" s="36"/>
      <c r="I30" s="37"/>
    </row>
    <row r="31" spans="1:9" x14ac:dyDescent="0.25">
      <c r="A31" s="38"/>
      <c r="B31" s="38"/>
      <c r="C31" s="38"/>
      <c r="D31" s="39" t="s">
        <v>14</v>
      </c>
      <c r="E31" s="11">
        <f>SUMIF('Product Backlog'!E$6:E$100,"",'Product Backlog'!D$6:D$100)-SUMIF('Product Backlog'!C$6:C$100,"Removed",'Product Backlog'!D$6:D$100)</f>
        <v>0</v>
      </c>
      <c r="F31" s="38"/>
      <c r="G31" s="40"/>
      <c r="H31" s="38"/>
    </row>
  </sheetData>
  <sheetProtection selectLockedCells="1" selectUnlockedCells="1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ErrorMessage="1" sqref="F4:F10 F16:F30" xr:uid="{00000000-0002-0000-0000-000000000000}">
      <formula1>"Planned,Ongoing,Released,Unplanned"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G20"/>
  <sheetViews>
    <sheetView workbookViewId="0">
      <pane ySplit="4" topLeftCell="A5" activePane="bottomLeft" state="frozen"/>
      <selection pane="bottomLeft" activeCell="G17" sqref="G17"/>
    </sheetView>
  </sheetViews>
  <sheetFormatPr defaultColWidth="9.109375" defaultRowHeight="13.2" x14ac:dyDescent="0.25"/>
  <cols>
    <col min="1" max="1" width="9.109375" style="41" customWidth="1"/>
    <col min="2" max="2" width="39.33203125" style="42" customWidth="1"/>
    <col min="3" max="3" width="10.88671875" style="41" customWidth="1"/>
    <col min="4" max="6" width="9.109375" style="41" customWidth="1"/>
    <col min="7" max="7" width="41.44140625" style="42" customWidth="1"/>
    <col min="8" max="16384" width="9.109375" style="43"/>
  </cols>
  <sheetData>
    <row r="1" spans="1:7" ht="17.399999999999999" x14ac:dyDescent="0.25">
      <c r="A1" s="44" t="s">
        <v>15</v>
      </c>
      <c r="C1" s="45" t="s">
        <v>16</v>
      </c>
    </row>
    <row r="2" spans="1:7" x14ac:dyDescent="0.25">
      <c r="D2" s="46"/>
    </row>
    <row r="4" spans="1:7" x14ac:dyDescent="0.25">
      <c r="A4" s="47" t="s">
        <v>17</v>
      </c>
      <c r="B4" s="48" t="s">
        <v>18</v>
      </c>
      <c r="C4" s="47" t="s">
        <v>6</v>
      </c>
      <c r="D4" s="47" t="s">
        <v>5</v>
      </c>
      <c r="E4" s="47" t="s">
        <v>11</v>
      </c>
      <c r="F4" s="47" t="s">
        <v>19</v>
      </c>
      <c r="G4" s="48" t="s">
        <v>20</v>
      </c>
    </row>
    <row r="5" spans="1:7" ht="26.4" x14ac:dyDescent="0.25">
      <c r="A5" s="41">
        <v>1</v>
      </c>
      <c r="B5" s="49" t="s">
        <v>21</v>
      </c>
      <c r="C5" s="41" t="s">
        <v>13</v>
      </c>
      <c r="D5" s="41">
        <v>4</v>
      </c>
      <c r="E5" s="41">
        <v>1</v>
      </c>
      <c r="G5" s="49" t="s">
        <v>22</v>
      </c>
    </row>
    <row r="6" spans="1:7" ht="39.6" x14ac:dyDescent="0.25">
      <c r="A6" s="41">
        <v>2</v>
      </c>
      <c r="B6" s="49" t="s">
        <v>23</v>
      </c>
      <c r="C6" s="50" t="s">
        <v>13</v>
      </c>
      <c r="D6" s="41">
        <v>15</v>
      </c>
      <c r="E6" s="41">
        <v>2</v>
      </c>
      <c r="G6" s="49" t="s">
        <v>24</v>
      </c>
    </row>
    <row r="7" spans="1:7" ht="39.6" x14ac:dyDescent="0.25">
      <c r="A7" s="41">
        <v>3</v>
      </c>
      <c r="B7" s="49" t="s">
        <v>25</v>
      </c>
      <c r="C7" s="50" t="s">
        <v>13</v>
      </c>
      <c r="D7" s="41">
        <v>18</v>
      </c>
      <c r="E7" s="41">
        <v>1</v>
      </c>
      <c r="G7" s="49" t="s">
        <v>26</v>
      </c>
    </row>
    <row r="8" spans="1:7" ht="39.6" x14ac:dyDescent="0.25">
      <c r="A8" s="41">
        <v>4</v>
      </c>
      <c r="B8" s="49" t="s">
        <v>27</v>
      </c>
      <c r="C8" s="50" t="s">
        <v>13</v>
      </c>
      <c r="D8" s="41">
        <v>4</v>
      </c>
      <c r="E8" s="41">
        <v>1</v>
      </c>
      <c r="G8" s="49" t="s">
        <v>28</v>
      </c>
    </row>
    <row r="9" spans="1:7" ht="26.25" customHeight="1" x14ac:dyDescent="0.25">
      <c r="A9" s="41">
        <v>5</v>
      </c>
      <c r="B9" s="49" t="s">
        <v>29</v>
      </c>
      <c r="C9" s="50" t="s">
        <v>13</v>
      </c>
      <c r="D9" s="41">
        <v>5</v>
      </c>
      <c r="E9" s="41">
        <v>2</v>
      </c>
      <c r="G9" s="49" t="s">
        <v>30</v>
      </c>
    </row>
    <row r="10" spans="1:7" ht="26.25" customHeight="1" x14ac:dyDescent="0.25">
      <c r="A10" s="41">
        <v>6</v>
      </c>
      <c r="B10" s="49" t="s">
        <v>31</v>
      </c>
      <c r="C10" s="50" t="s">
        <v>13</v>
      </c>
      <c r="D10" s="41">
        <v>10</v>
      </c>
      <c r="E10" s="41">
        <v>3</v>
      </c>
      <c r="G10" s="49" t="s">
        <v>32</v>
      </c>
    </row>
    <row r="11" spans="1:7" ht="39.6" x14ac:dyDescent="0.25">
      <c r="A11" s="41">
        <v>7</v>
      </c>
      <c r="B11" s="49" t="s">
        <v>33</v>
      </c>
      <c r="C11" s="50" t="s">
        <v>13</v>
      </c>
      <c r="D11" s="41">
        <v>8</v>
      </c>
      <c r="E11" s="41">
        <v>3</v>
      </c>
      <c r="G11" s="49" t="s">
        <v>34</v>
      </c>
    </row>
    <row r="12" spans="1:7" ht="26.4" x14ac:dyDescent="0.25">
      <c r="A12" s="41">
        <v>8</v>
      </c>
      <c r="B12" s="49" t="s">
        <v>116</v>
      </c>
      <c r="C12" s="50" t="s">
        <v>13</v>
      </c>
      <c r="D12" s="41">
        <v>4</v>
      </c>
      <c r="E12" s="41">
        <v>1</v>
      </c>
      <c r="G12" s="49" t="s">
        <v>117</v>
      </c>
    </row>
    <row r="13" spans="1:7" ht="39.6" x14ac:dyDescent="0.25">
      <c r="A13" s="41">
        <v>9</v>
      </c>
      <c r="B13" s="49" t="s">
        <v>35</v>
      </c>
      <c r="C13" s="50" t="s">
        <v>13</v>
      </c>
      <c r="D13" s="41">
        <v>13</v>
      </c>
      <c r="E13" s="41">
        <v>3</v>
      </c>
      <c r="G13" s="49" t="s">
        <v>36</v>
      </c>
    </row>
    <row r="14" spans="1:7" ht="26.4" x14ac:dyDescent="0.25">
      <c r="A14" s="41">
        <v>10</v>
      </c>
      <c r="B14" s="49" t="s">
        <v>37</v>
      </c>
      <c r="C14" s="50" t="s">
        <v>13</v>
      </c>
      <c r="D14" s="41">
        <v>8</v>
      </c>
      <c r="E14" s="41">
        <v>2</v>
      </c>
      <c r="G14" s="49" t="s">
        <v>38</v>
      </c>
    </row>
    <row r="15" spans="1:7" ht="39.6" x14ac:dyDescent="0.25">
      <c r="A15" s="41">
        <v>11</v>
      </c>
      <c r="B15" s="42" t="s">
        <v>123</v>
      </c>
      <c r="C15" s="41" t="s">
        <v>13</v>
      </c>
      <c r="D15" s="41">
        <v>4</v>
      </c>
      <c r="E15" s="41">
        <v>1</v>
      </c>
      <c r="G15" s="42" t="s">
        <v>39</v>
      </c>
    </row>
    <row r="16" spans="1:7" ht="39.6" x14ac:dyDescent="0.25">
      <c r="A16" s="41">
        <v>12</v>
      </c>
      <c r="B16" s="42" t="s">
        <v>40</v>
      </c>
      <c r="C16" s="41" t="s">
        <v>13</v>
      </c>
      <c r="D16" s="41">
        <v>3</v>
      </c>
      <c r="E16" s="41">
        <v>2</v>
      </c>
      <c r="G16" s="42" t="s">
        <v>130</v>
      </c>
    </row>
    <row r="17" spans="1:7" ht="39.6" x14ac:dyDescent="0.25">
      <c r="A17" s="41">
        <v>13</v>
      </c>
      <c r="B17" s="42" t="s">
        <v>128</v>
      </c>
      <c r="C17" s="41" t="s">
        <v>13</v>
      </c>
      <c r="D17" s="41">
        <v>6</v>
      </c>
      <c r="E17" s="41">
        <v>1</v>
      </c>
      <c r="G17" s="42" t="s">
        <v>129</v>
      </c>
    </row>
    <row r="18" spans="1:7" x14ac:dyDescent="0.25">
      <c r="B18" s="42" t="s">
        <v>119</v>
      </c>
      <c r="C18" s="41" t="s">
        <v>13</v>
      </c>
    </row>
    <row r="19" spans="1:7" x14ac:dyDescent="0.25">
      <c r="B19" s="42" t="s">
        <v>119</v>
      </c>
      <c r="C19" s="41" t="s">
        <v>13</v>
      </c>
    </row>
    <row r="20" spans="1:7" x14ac:dyDescent="0.25">
      <c r="B20" s="42" t="s">
        <v>119</v>
      </c>
      <c r="C20" s="41" t="s">
        <v>13</v>
      </c>
    </row>
  </sheetData>
  <sheetProtection selectLockedCells="1" selectUnlockedCells="1"/>
  <conditionalFormatting sqref="G41:G49 C42:C43 G20:G38 A51:G160 B44:F49 A4:G9 A10:A49 B10:F41 G10:G18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0">
    <cfRule type="expression" dxfId="17" priority="4" stopIfTrue="1">
      <formula>$C40="Done"</formula>
    </cfRule>
    <cfRule type="expression" dxfId="16" priority="5" stopIfTrue="1">
      <formula>$C40="Ongoing"</formula>
    </cfRule>
    <cfRule type="expression" dxfId="15" priority="6" stopIfTrue="1">
      <formula>$C40="Removed"</formula>
    </cfRule>
  </conditionalFormatting>
  <conditionalFormatting sqref="G39:G40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19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qref="C4 C6:C14" xr:uid="{00000000-0002-0000-0100-000000000000}">
      <formula1>"Planned,Ongoing,Done,Removed"</formula1>
      <formula2>0</formula2>
    </dataValidation>
  </dataValidations>
  <pageMargins left="0.75" right="0.75" top="1" bottom="1" header="0.51180555555555551" footer="0.51180555555555551"/>
  <pageSetup paperSize="9" firstPageNumber="0" orientation="landscape" horizontalDpi="300" verticalDpi="300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tabSelected="1" topLeftCell="A12" workbookViewId="0">
      <selection activeCell="D31" sqref="D31"/>
    </sheetView>
  </sheetViews>
  <sheetFormatPr defaultColWidth="9" defaultRowHeight="13.2" x14ac:dyDescent="0.25"/>
  <cols>
    <col min="1" max="1" width="11.88671875" customWidth="1"/>
    <col min="2" max="4" width="9" customWidth="1"/>
    <col min="5" max="5" width="14.44140625" customWidth="1"/>
    <col min="6" max="6" width="15.6640625" hidden="1" customWidth="1"/>
    <col min="7" max="8" width="5.5546875" hidden="1" customWidth="1"/>
    <col min="9" max="9" width="7.33203125" hidden="1" customWidth="1"/>
    <col min="10" max="10" width="4.33203125" hidden="1" customWidth="1"/>
    <col min="11" max="13" width="6.88671875" hidden="1" customWidth="1"/>
    <col min="14" max="16" width="9.109375" hidden="1" customWidth="1"/>
    <col min="17" max="17" width="10.5546875" hidden="1" customWidth="1"/>
  </cols>
  <sheetData>
    <row r="1" spans="1:26" ht="17.399999999999999" x14ac:dyDescent="0.25">
      <c r="A1" s="44" t="s">
        <v>41</v>
      </c>
    </row>
    <row r="3" spans="1:26" x14ac:dyDescent="0.25">
      <c r="A3" t="s">
        <v>42</v>
      </c>
      <c r="D3">
        <v>102</v>
      </c>
      <c r="F3" t="s">
        <v>43</v>
      </c>
      <c r="G3" s="51">
        <f>IF(COUNT(B28:B39)=0,1,COUNT(B28:B39))</f>
        <v>3</v>
      </c>
    </row>
    <row r="4" spans="1:26" x14ac:dyDescent="0.25">
      <c r="A4" t="s">
        <v>44</v>
      </c>
      <c r="D4">
        <v>3</v>
      </c>
      <c r="E4" t="s">
        <v>45</v>
      </c>
      <c r="F4" t="s">
        <v>46</v>
      </c>
      <c r="G4" s="51">
        <f>IF(COUNT(D28:D51)=0,1,COUNT(D28:D51)+1)</f>
        <v>1</v>
      </c>
    </row>
    <row r="5" spans="1:26" x14ac:dyDescent="0.25">
      <c r="F5" t="s">
        <v>47</v>
      </c>
      <c r="G5" s="51">
        <f>IF(G4&gt;D4,G4-D4,0)</f>
        <v>0</v>
      </c>
      <c r="Z5" s="26" t="s">
        <v>48</v>
      </c>
    </row>
    <row r="6" spans="1:26" x14ac:dyDescent="0.25">
      <c r="A6" s="8" t="s">
        <v>49</v>
      </c>
      <c r="F6" t="s">
        <v>50</v>
      </c>
      <c r="G6" s="51">
        <f>TrendSprintCount-TrendOffset</f>
        <v>1</v>
      </c>
      <c r="Z6" s="26" t="s">
        <v>51</v>
      </c>
    </row>
    <row r="7" spans="1:26" x14ac:dyDescent="0.25">
      <c r="A7" t="s">
        <v>52</v>
      </c>
      <c r="D7">
        <v>30</v>
      </c>
      <c r="Z7" s="26" t="s">
        <v>53</v>
      </c>
    </row>
    <row r="8" spans="1:26" x14ac:dyDescent="0.25">
      <c r="A8" s="103">
        <f>D$4</f>
        <v>3</v>
      </c>
      <c r="B8" s="103"/>
      <c r="D8" s="52" t="str">
        <f ca="1">IF(D28="","",AVERAGE(OFFSET(D27,TrendOffset,0,SprintsInTrend,1)))</f>
        <v/>
      </c>
      <c r="Z8" s="26" t="s">
        <v>54</v>
      </c>
    </row>
    <row r="9" spans="1:26" x14ac:dyDescent="0.25">
      <c r="A9" t="s">
        <v>55</v>
      </c>
      <c r="D9" s="52" t="str">
        <f ca="1">IF(D28="","",AVERAGE(OFFSET(D27,1,0,SprintCount,1)))</f>
        <v/>
      </c>
      <c r="F9" t="s">
        <v>56</v>
      </c>
      <c r="G9" s="51">
        <f ca="1">IF(M28="",1,COUNT(M28:M110))</f>
        <v>1</v>
      </c>
      <c r="Z9" s="26" t="s">
        <v>57</v>
      </c>
    </row>
    <row r="10" spans="1:26" x14ac:dyDescent="0.25">
      <c r="A10" t="s">
        <v>58</v>
      </c>
      <c r="D10" s="52" t="str">
        <f>IF(D28="","",AVERAGE(LastEight))</f>
        <v/>
      </c>
      <c r="Z10" s="26" t="s">
        <v>59</v>
      </c>
    </row>
    <row r="11" spans="1:26" x14ac:dyDescent="0.25">
      <c r="A11" t="s">
        <v>60</v>
      </c>
      <c r="D11" s="52" t="str">
        <f>IF(D28="","",IF(TrendSprintCount&lt;4,D10,AVERAGE(SMALL(LastEight,1),SMALL(LastEight,2),SMALL(LastEight,3))))</f>
        <v/>
      </c>
      <c r="Z11" s="26" t="s">
        <v>61</v>
      </c>
    </row>
    <row r="12" spans="1:26" x14ac:dyDescent="0.25">
      <c r="A12" t="s">
        <v>62</v>
      </c>
      <c r="D12" s="52" t="str">
        <f ca="1">IF(M29="","",M28-M29)</f>
        <v/>
      </c>
      <c r="Z12" s="26" t="s">
        <v>63</v>
      </c>
    </row>
    <row r="13" spans="1:26" x14ac:dyDescent="0.25">
      <c r="F13" s="53" t="s">
        <v>64</v>
      </c>
      <c r="Z13" s="26" t="s">
        <v>65</v>
      </c>
    </row>
    <row r="14" spans="1:26" x14ac:dyDescent="0.25">
      <c r="A14" s="8" t="s">
        <v>66</v>
      </c>
    </row>
    <row r="15" spans="1:26" x14ac:dyDescent="0.25">
      <c r="A15" t="s">
        <v>67</v>
      </c>
      <c r="D15" s="54">
        <f>IF(D7="",0,ROUNDUP(D3/D7*0.6,0))</f>
        <v>3</v>
      </c>
    </row>
    <row r="16" spans="1:26" x14ac:dyDescent="0.25">
      <c r="A16" t="s">
        <v>68</v>
      </c>
      <c r="D16" s="54">
        <f>IF(D7="",0,ROUNDUP(D3/D7,0))</f>
        <v>4</v>
      </c>
    </row>
    <row r="17" spans="1:17" x14ac:dyDescent="0.25">
      <c r="A17" t="s">
        <v>69</v>
      </c>
      <c r="D17" s="54">
        <f>IF(D7="",0,ROUNDUP(D3/D7*1.6,0))</f>
        <v>6</v>
      </c>
      <c r="F17" t="s">
        <v>70</v>
      </c>
      <c r="G17">
        <f>IF(OR(D28="",D29=""),1,STDEV(D28:D51))</f>
        <v>1</v>
      </c>
    </row>
    <row r="18" spans="1:17" x14ac:dyDescent="0.25">
      <c r="A18" s="103">
        <f>D$4</f>
        <v>3</v>
      </c>
      <c r="B18" s="103"/>
      <c r="D18" s="54" t="str">
        <f ca="1">IF(D8="","",IF(LastRealized="",ROUNDUP(LastPlanned/D8,0)+SprintCount-1,ROUNDUP((LastPlanned-LastRealized)/D8+SprintCount,0)))</f>
        <v/>
      </c>
    </row>
    <row r="19" spans="1:17" x14ac:dyDescent="0.25">
      <c r="A19" t="s">
        <v>71</v>
      </c>
      <c r="D19" s="54" t="str">
        <f ca="1">IF(D9="","",IF(LastRealized="",ROUNDUP(LastPlanned/D9+SprintCount-1,0),ROUNDUP((LastPlanned-LastRealized)/D9,0)+SprintCount))</f>
        <v/>
      </c>
      <c r="F19" t="s">
        <v>72</v>
      </c>
      <c r="G19">
        <f ca="1">LastPlanned</f>
        <v>31</v>
      </c>
    </row>
    <row r="20" spans="1:17" x14ac:dyDescent="0.25">
      <c r="A20" t="s">
        <v>58</v>
      </c>
      <c r="D20" s="54" t="str">
        <f>IF(D10="","",IF(LastRealized="",ROUNDUP(LastPlanned/D10+SprintCount-1,0),ROUNDUP((LastPlanned-LastRealized)/D10,0)+SprintCount))</f>
        <v/>
      </c>
      <c r="F20" t="s">
        <v>73</v>
      </c>
      <c r="G20">
        <f ca="1">LastRealized</f>
        <v>1</v>
      </c>
    </row>
    <row r="21" spans="1:17" x14ac:dyDescent="0.25">
      <c r="A21" t="s">
        <v>60</v>
      </c>
      <c r="D21" s="54" t="str">
        <f>IF(D11="","",IF(LastRealized="",ROUNDUP(LastPlanned/D11+SprintCount-1,0),ROUNDUP((LastPlanned-LastRealized)/D11,0)+SprintCount))</f>
        <v/>
      </c>
    </row>
    <row r="22" spans="1:17" x14ac:dyDescent="0.25">
      <c r="A22" t="s">
        <v>62</v>
      </c>
      <c r="D22" s="54" t="str">
        <f ca="1">IF(COUNT(M28:M51)-1&gt;0,COUNT(M28:M51)-1,"")</f>
        <v/>
      </c>
    </row>
    <row r="23" spans="1:17" x14ac:dyDescent="0.25">
      <c r="A23" t="s">
        <v>74</v>
      </c>
      <c r="D23" s="54" t="str">
        <f ca="1">IF(D9="","",IF(LastRealized="",ROUNDUP(LastPlanned/(D9+G17)+SprintCount-1,0),ROUNDUP((LastPlanned-LastRealized)/(D9+G17)+SprintCount,0)))</f>
        <v/>
      </c>
    </row>
    <row r="24" spans="1:17" x14ac:dyDescent="0.25">
      <c r="A24" t="s">
        <v>75</v>
      </c>
      <c r="D24" s="54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5">
      <c r="F26" s="104" t="s">
        <v>62</v>
      </c>
      <c r="G26" s="104"/>
      <c r="H26" s="104"/>
      <c r="I26" s="104"/>
      <c r="J26" s="104"/>
      <c r="K26" s="104"/>
      <c r="L26" s="104"/>
      <c r="M26" s="104"/>
      <c r="N26" s="104"/>
      <c r="O26" s="104" t="s">
        <v>76</v>
      </c>
      <c r="P26" s="104"/>
      <c r="Q26" s="104"/>
    </row>
    <row r="27" spans="1:17" s="60" customFormat="1" ht="27" customHeight="1" x14ac:dyDescent="0.25">
      <c r="A27" s="55" t="s">
        <v>11</v>
      </c>
      <c r="B27" s="56" t="s">
        <v>77</v>
      </c>
      <c r="C27" s="56" t="s">
        <v>78</v>
      </c>
      <c r="D27" s="57" t="s">
        <v>79</v>
      </c>
      <c r="E27" s="57" t="s">
        <v>80</v>
      </c>
      <c r="F27" s="102" t="s">
        <v>81</v>
      </c>
      <c r="G27" s="105" t="s">
        <v>82</v>
      </c>
      <c r="H27" s="105"/>
      <c r="I27" s="102" t="s">
        <v>83</v>
      </c>
      <c r="J27" s="58"/>
      <c r="K27" s="102" t="s">
        <v>84</v>
      </c>
      <c r="L27" s="102" t="s">
        <v>85</v>
      </c>
      <c r="M27" s="102" t="s">
        <v>86</v>
      </c>
      <c r="N27" s="59" t="s">
        <v>87</v>
      </c>
      <c r="O27" s="102" t="s">
        <v>88</v>
      </c>
      <c r="P27" s="102" t="s">
        <v>89</v>
      </c>
      <c r="Q27" s="102" t="s">
        <v>90</v>
      </c>
    </row>
    <row r="28" spans="1:17" x14ac:dyDescent="0.25">
      <c r="A28" s="61">
        <v>1</v>
      </c>
      <c r="B28" s="1">
        <f>D3</f>
        <v>102</v>
      </c>
      <c r="C28" s="1">
        <v>40</v>
      </c>
      <c r="D28" s="1"/>
      <c r="E28" s="61">
        <f>B28</f>
        <v>102</v>
      </c>
      <c r="F28" s="51">
        <f>B28</f>
        <v>102</v>
      </c>
      <c r="G28" s="51">
        <f t="shared" ref="G28:G51" si="0">F28</f>
        <v>102</v>
      </c>
      <c r="H28" s="51">
        <f t="shared" ref="H28:H51" si="1">I28</f>
        <v>0</v>
      </c>
      <c r="I28" s="51">
        <v>0</v>
      </c>
      <c r="K28">
        <f t="shared" ref="K28:K51" si="2">IF(F28&lt;I28,I28,F28)</f>
        <v>102</v>
      </c>
      <c r="L28" s="51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102</v>
      </c>
      <c r="M28" s="51">
        <f ca="1">L28</f>
        <v>102</v>
      </c>
      <c r="N28" s="51">
        <f t="shared" ref="N28:N51" ca="1" si="4">OFFSET($I$27,TrendSprintCount,0,1,1)</f>
        <v>0</v>
      </c>
      <c r="O28" s="62" t="str">
        <f t="shared" ref="O28:O51" ca="1" si="5">D$9</f>
        <v/>
      </c>
      <c r="P28" s="62" t="str">
        <f t="shared" ref="P28:P51" si="6">D$10</f>
        <v/>
      </c>
      <c r="Q28" s="62" t="str">
        <f t="shared" ref="Q28:Q51" si="7">D$11</f>
        <v/>
      </c>
    </row>
    <row r="29" spans="1:17" x14ac:dyDescent="0.25">
      <c r="A29" s="61">
        <v>2</v>
      </c>
      <c r="B29" s="1">
        <v>62</v>
      </c>
      <c r="C29" s="1">
        <v>31</v>
      </c>
      <c r="D29" s="1"/>
      <c r="E29" s="61">
        <f t="shared" ref="E29:E51" si="8">IF(B29="","",IF(D28="",E28,B29+SUM(D$28:D28)))</f>
        <v>102</v>
      </c>
      <c r="F29" s="51">
        <f t="shared" ref="F29:F51" si="9">IF(B29="",IF(B28="","",IF(D28="","",I28)),IF(AND(D28="",C28=""),"",IF(AND(D28="",C28&lt;&gt;""),IF(I28&gt;F28,F28,I28),F28-D28)))</f>
        <v>0</v>
      </c>
      <c r="G29" s="51">
        <f t="shared" si="0"/>
        <v>0</v>
      </c>
      <c r="H29" s="51">
        <f t="shared" si="1"/>
        <v>62</v>
      </c>
      <c r="I29" s="51">
        <f t="shared" ref="I29:I51" si="10">IF(B29="",IF(B28="","",IF(D28="","",F28-D28)),IF(AND(C28="",D28=""),"",IF(AND(D28="",C28&lt;&gt;""),IF(I28&gt;F28,I28-C28,F28-C28),B$28-B29-SUM(D$28:D28))))</f>
        <v>62</v>
      </c>
      <c r="K29">
        <f t="shared" si="2"/>
        <v>62</v>
      </c>
      <c r="L29" s="51">
        <f t="shared" ca="1" si="3"/>
        <v>102</v>
      </c>
      <c r="M29" s="51" t="str">
        <f t="shared" ref="M29:M51" ca="1" si="11">IF(L29=L28,"",L29)</f>
        <v/>
      </c>
      <c r="N29" s="51">
        <f t="shared" ca="1" si="4"/>
        <v>0</v>
      </c>
      <c r="O29" s="62" t="str">
        <f t="shared" ca="1" si="5"/>
        <v/>
      </c>
      <c r="P29" s="62" t="str">
        <f t="shared" si="6"/>
        <v/>
      </c>
      <c r="Q29" s="62" t="str">
        <f t="shared" si="7"/>
        <v/>
      </c>
    </row>
    <row r="30" spans="1:17" x14ac:dyDescent="0.25">
      <c r="A30" s="61">
        <v>3</v>
      </c>
      <c r="B30" s="1">
        <v>31</v>
      </c>
      <c r="C30" s="1">
        <v>31</v>
      </c>
      <c r="D30" s="1"/>
      <c r="E30" s="61">
        <f t="shared" si="8"/>
        <v>102</v>
      </c>
      <c r="F30" s="51">
        <f t="shared" si="9"/>
        <v>0</v>
      </c>
      <c r="G30" s="51">
        <f t="shared" si="0"/>
        <v>0</v>
      </c>
      <c r="H30" s="51">
        <f t="shared" si="1"/>
        <v>31</v>
      </c>
      <c r="I30" s="51">
        <f t="shared" si="10"/>
        <v>31</v>
      </c>
      <c r="K30">
        <f t="shared" si="2"/>
        <v>31</v>
      </c>
      <c r="L30" s="51">
        <f t="shared" ca="1" si="3"/>
        <v>102</v>
      </c>
      <c r="M30" s="51" t="str">
        <f t="shared" ca="1" si="11"/>
        <v/>
      </c>
      <c r="N30" s="51">
        <f t="shared" ca="1" si="4"/>
        <v>0</v>
      </c>
      <c r="O30" s="62" t="str">
        <f t="shared" ca="1" si="5"/>
        <v/>
      </c>
      <c r="P30" s="62" t="str">
        <f t="shared" si="6"/>
        <v/>
      </c>
      <c r="Q30" s="62" t="str">
        <f t="shared" si="7"/>
        <v/>
      </c>
    </row>
    <row r="31" spans="1:17" x14ac:dyDescent="0.25">
      <c r="A31" s="61">
        <v>4</v>
      </c>
      <c r="B31" s="1"/>
      <c r="C31" s="1"/>
      <c r="D31" s="1"/>
      <c r="E31" s="61" t="str">
        <f t="shared" si="8"/>
        <v/>
      </c>
      <c r="F31" s="51" t="str">
        <f t="shared" si="9"/>
        <v/>
      </c>
      <c r="G31" s="51" t="str">
        <f t="shared" si="0"/>
        <v/>
      </c>
      <c r="H31" s="51" t="str">
        <f t="shared" si="1"/>
        <v/>
      </c>
      <c r="I31" s="51" t="str">
        <f t="shared" si="10"/>
        <v/>
      </c>
      <c r="K31" t="str">
        <f t="shared" si="2"/>
        <v/>
      </c>
      <c r="L31" s="51">
        <f t="shared" ca="1" si="3"/>
        <v>102</v>
      </c>
      <c r="M31" s="51" t="str">
        <f t="shared" ca="1" si="11"/>
        <v/>
      </c>
      <c r="N31" s="51">
        <f t="shared" ca="1" si="4"/>
        <v>0</v>
      </c>
      <c r="O31" s="62" t="str">
        <f t="shared" ca="1" si="5"/>
        <v/>
      </c>
      <c r="P31" s="62" t="str">
        <f t="shared" si="6"/>
        <v/>
      </c>
      <c r="Q31" s="62" t="str">
        <f t="shared" si="7"/>
        <v/>
      </c>
    </row>
    <row r="32" spans="1:17" x14ac:dyDescent="0.25">
      <c r="A32" s="61">
        <v>5</v>
      </c>
      <c r="B32" s="1"/>
      <c r="C32" s="1"/>
      <c r="D32" s="1"/>
      <c r="E32" s="61"/>
      <c r="F32" s="51" t="str">
        <f t="shared" si="9"/>
        <v/>
      </c>
      <c r="G32" s="51" t="str">
        <f t="shared" si="0"/>
        <v/>
      </c>
      <c r="H32" s="51" t="str">
        <f t="shared" si="1"/>
        <v/>
      </c>
      <c r="I32" s="51" t="str">
        <f t="shared" si="10"/>
        <v/>
      </c>
      <c r="K32" t="str">
        <f t="shared" si="2"/>
        <v/>
      </c>
      <c r="L32" s="51">
        <f t="shared" ca="1" si="3"/>
        <v>102</v>
      </c>
      <c r="M32" s="51" t="str">
        <f t="shared" ca="1" si="11"/>
        <v/>
      </c>
      <c r="N32" s="51">
        <f t="shared" ca="1" si="4"/>
        <v>0</v>
      </c>
      <c r="O32" s="62" t="str">
        <f t="shared" ca="1" si="5"/>
        <v/>
      </c>
      <c r="P32" s="62" t="str">
        <f t="shared" si="6"/>
        <v/>
      </c>
      <c r="Q32" s="62" t="str">
        <f t="shared" si="7"/>
        <v/>
      </c>
    </row>
    <row r="33" spans="1:17" x14ac:dyDescent="0.25">
      <c r="A33" s="61">
        <v>6</v>
      </c>
      <c r="B33" s="1" t="str">
        <f t="shared" ref="B29:B51" si="12">IF(OR(B32="",C32=""),"",IF(D32="",IF(B32-C32&lt;=0,"",B32-C32),IF(B32-D32&lt;=0,"",B32-D32)))</f>
        <v/>
      </c>
      <c r="C33" s="1"/>
      <c r="D33" s="1"/>
      <c r="E33" s="61" t="str">
        <f t="shared" si="8"/>
        <v/>
      </c>
      <c r="F33" s="51" t="str">
        <f t="shared" si="9"/>
        <v/>
      </c>
      <c r="G33" s="51" t="str">
        <f t="shared" si="0"/>
        <v/>
      </c>
      <c r="H33" s="51" t="str">
        <f t="shared" si="1"/>
        <v/>
      </c>
      <c r="I33" s="51" t="str">
        <f t="shared" si="10"/>
        <v/>
      </c>
      <c r="K33" t="str">
        <f t="shared" si="2"/>
        <v/>
      </c>
      <c r="L33" s="51">
        <f t="shared" ca="1" si="3"/>
        <v>102</v>
      </c>
      <c r="M33" s="51" t="str">
        <f t="shared" ca="1" si="11"/>
        <v/>
      </c>
      <c r="N33" s="51">
        <f t="shared" ca="1" si="4"/>
        <v>0</v>
      </c>
      <c r="O33" s="62" t="str">
        <f t="shared" ca="1" si="5"/>
        <v/>
      </c>
      <c r="P33" s="62" t="str">
        <f t="shared" si="6"/>
        <v/>
      </c>
      <c r="Q33" s="62" t="str">
        <f t="shared" si="7"/>
        <v/>
      </c>
    </row>
    <row r="34" spans="1:17" x14ac:dyDescent="0.25">
      <c r="A34" s="61">
        <v>7</v>
      </c>
      <c r="B34" s="1" t="str">
        <f t="shared" si="12"/>
        <v/>
      </c>
      <c r="C34" s="1"/>
      <c r="D34" s="1"/>
      <c r="E34" s="61" t="str">
        <f t="shared" si="8"/>
        <v/>
      </c>
      <c r="F34" s="51" t="str">
        <f t="shared" si="9"/>
        <v/>
      </c>
      <c r="G34" s="51" t="str">
        <f t="shared" si="0"/>
        <v/>
      </c>
      <c r="H34" s="51" t="str">
        <f t="shared" si="1"/>
        <v/>
      </c>
      <c r="I34" s="51" t="str">
        <f t="shared" si="10"/>
        <v/>
      </c>
      <c r="K34" t="str">
        <f t="shared" si="2"/>
        <v/>
      </c>
      <c r="L34" s="51">
        <f t="shared" ca="1" si="3"/>
        <v>102</v>
      </c>
      <c r="M34" s="51" t="str">
        <f t="shared" ca="1" si="11"/>
        <v/>
      </c>
      <c r="N34" s="51">
        <f t="shared" ca="1" si="4"/>
        <v>0</v>
      </c>
      <c r="O34" s="62" t="str">
        <f t="shared" ca="1" si="5"/>
        <v/>
      </c>
      <c r="P34" s="62" t="str">
        <f t="shared" si="6"/>
        <v/>
      </c>
      <c r="Q34" s="62" t="str">
        <f t="shared" si="7"/>
        <v/>
      </c>
    </row>
    <row r="35" spans="1:17" x14ac:dyDescent="0.25">
      <c r="A35" s="61">
        <v>8</v>
      </c>
      <c r="B35" s="1" t="str">
        <f t="shared" si="12"/>
        <v/>
      </c>
      <c r="C35" s="1"/>
      <c r="D35" s="1"/>
      <c r="E35" s="61" t="str">
        <f t="shared" si="8"/>
        <v/>
      </c>
      <c r="F35" s="51" t="str">
        <f t="shared" si="9"/>
        <v/>
      </c>
      <c r="G35" s="51" t="str">
        <f t="shared" si="0"/>
        <v/>
      </c>
      <c r="H35" s="51" t="str">
        <f t="shared" si="1"/>
        <v/>
      </c>
      <c r="I35" s="51" t="str">
        <f t="shared" si="10"/>
        <v/>
      </c>
      <c r="K35" t="str">
        <f t="shared" si="2"/>
        <v/>
      </c>
      <c r="L35" s="51">
        <f t="shared" ca="1" si="3"/>
        <v>102</v>
      </c>
      <c r="M35" s="51" t="str">
        <f t="shared" ca="1" si="11"/>
        <v/>
      </c>
      <c r="N35" s="51">
        <f t="shared" ca="1" si="4"/>
        <v>0</v>
      </c>
      <c r="O35" s="62" t="str">
        <f t="shared" ca="1" si="5"/>
        <v/>
      </c>
      <c r="P35" s="62" t="str">
        <f t="shared" si="6"/>
        <v/>
      </c>
      <c r="Q35" s="62" t="str">
        <f t="shared" si="7"/>
        <v/>
      </c>
    </row>
    <row r="36" spans="1:17" x14ac:dyDescent="0.25">
      <c r="A36" s="61">
        <v>9</v>
      </c>
      <c r="B36" s="1" t="str">
        <f t="shared" si="12"/>
        <v/>
      </c>
      <c r="C36" s="1"/>
      <c r="D36" s="1"/>
      <c r="E36" s="61" t="str">
        <f t="shared" si="8"/>
        <v/>
      </c>
      <c r="F36" s="51" t="str">
        <f t="shared" si="9"/>
        <v/>
      </c>
      <c r="G36" s="51" t="str">
        <f t="shared" si="0"/>
        <v/>
      </c>
      <c r="H36" s="51" t="str">
        <f t="shared" si="1"/>
        <v/>
      </c>
      <c r="I36" s="51" t="str">
        <f t="shared" si="10"/>
        <v/>
      </c>
      <c r="K36" t="str">
        <f t="shared" si="2"/>
        <v/>
      </c>
      <c r="L36" s="51">
        <f t="shared" ca="1" si="3"/>
        <v>102</v>
      </c>
      <c r="M36" s="51" t="str">
        <f t="shared" ca="1" si="11"/>
        <v/>
      </c>
      <c r="N36" s="51">
        <f t="shared" ca="1" si="4"/>
        <v>0</v>
      </c>
      <c r="O36" s="62" t="str">
        <f t="shared" ca="1" si="5"/>
        <v/>
      </c>
      <c r="P36" s="62" t="str">
        <f t="shared" si="6"/>
        <v/>
      </c>
      <c r="Q36" s="62" t="str">
        <f t="shared" si="7"/>
        <v/>
      </c>
    </row>
    <row r="37" spans="1:17" x14ac:dyDescent="0.25">
      <c r="A37" s="61">
        <v>10</v>
      </c>
      <c r="B37" s="1" t="str">
        <f t="shared" si="12"/>
        <v/>
      </c>
      <c r="C37" s="1"/>
      <c r="D37" s="1"/>
      <c r="E37" s="61" t="str">
        <f t="shared" si="8"/>
        <v/>
      </c>
      <c r="F37" s="51" t="str">
        <f t="shared" si="9"/>
        <v/>
      </c>
      <c r="G37" s="51" t="str">
        <f t="shared" si="0"/>
        <v/>
      </c>
      <c r="H37" s="51" t="str">
        <f t="shared" si="1"/>
        <v/>
      </c>
      <c r="I37" s="51" t="str">
        <f t="shared" si="10"/>
        <v/>
      </c>
      <c r="K37" t="str">
        <f t="shared" si="2"/>
        <v/>
      </c>
      <c r="L37" s="51">
        <f t="shared" ca="1" si="3"/>
        <v>102</v>
      </c>
      <c r="M37" s="51" t="str">
        <f t="shared" ca="1" si="11"/>
        <v/>
      </c>
      <c r="N37" s="51">
        <f t="shared" ca="1" si="4"/>
        <v>0</v>
      </c>
      <c r="O37" s="62" t="str">
        <f t="shared" ca="1" si="5"/>
        <v/>
      </c>
      <c r="P37" s="62" t="str">
        <f t="shared" si="6"/>
        <v/>
      </c>
      <c r="Q37" s="62" t="str">
        <f t="shared" si="7"/>
        <v/>
      </c>
    </row>
    <row r="38" spans="1:17" x14ac:dyDescent="0.25">
      <c r="A38" s="61">
        <v>11</v>
      </c>
      <c r="B38" s="1" t="str">
        <f t="shared" si="12"/>
        <v/>
      </c>
      <c r="C38" s="1"/>
      <c r="D38" s="1"/>
      <c r="E38" s="61" t="str">
        <f t="shared" si="8"/>
        <v/>
      </c>
      <c r="F38" s="51" t="str">
        <f t="shared" si="9"/>
        <v/>
      </c>
      <c r="G38" s="51" t="str">
        <f t="shared" si="0"/>
        <v/>
      </c>
      <c r="H38" s="51" t="str">
        <f t="shared" si="1"/>
        <v/>
      </c>
      <c r="I38" s="51" t="str">
        <f t="shared" si="10"/>
        <v/>
      </c>
      <c r="K38" t="str">
        <f t="shared" si="2"/>
        <v/>
      </c>
      <c r="L38" s="51">
        <f t="shared" ca="1" si="3"/>
        <v>102</v>
      </c>
      <c r="M38" s="51" t="str">
        <f t="shared" ca="1" si="11"/>
        <v/>
      </c>
      <c r="N38" s="51">
        <f t="shared" ca="1" si="4"/>
        <v>0</v>
      </c>
      <c r="O38" s="62" t="str">
        <f t="shared" ca="1" si="5"/>
        <v/>
      </c>
      <c r="P38" s="62" t="str">
        <f t="shared" si="6"/>
        <v/>
      </c>
      <c r="Q38" s="62" t="str">
        <f t="shared" si="7"/>
        <v/>
      </c>
    </row>
    <row r="39" spans="1:17" x14ac:dyDescent="0.25">
      <c r="A39" s="61">
        <v>12</v>
      </c>
      <c r="B39" s="1" t="str">
        <f t="shared" si="12"/>
        <v/>
      </c>
      <c r="C39" s="1"/>
      <c r="D39" s="1"/>
      <c r="E39" s="61" t="str">
        <f t="shared" si="8"/>
        <v/>
      </c>
      <c r="F39" s="51" t="str">
        <f t="shared" si="9"/>
        <v/>
      </c>
      <c r="G39" s="51" t="str">
        <f t="shared" si="0"/>
        <v/>
      </c>
      <c r="H39" s="51" t="str">
        <f t="shared" si="1"/>
        <v/>
      </c>
      <c r="I39" s="51" t="str">
        <f t="shared" si="10"/>
        <v/>
      </c>
      <c r="K39" t="str">
        <f t="shared" si="2"/>
        <v/>
      </c>
      <c r="L39" s="51">
        <f t="shared" ca="1" si="3"/>
        <v>102</v>
      </c>
      <c r="M39" s="51" t="str">
        <f t="shared" ca="1" si="11"/>
        <v/>
      </c>
      <c r="N39" s="51">
        <f t="shared" ca="1" si="4"/>
        <v>0</v>
      </c>
      <c r="O39" s="62" t="str">
        <f t="shared" ca="1" si="5"/>
        <v/>
      </c>
      <c r="P39" s="62" t="str">
        <f t="shared" si="6"/>
        <v/>
      </c>
      <c r="Q39" s="62" t="str">
        <f t="shared" si="7"/>
        <v/>
      </c>
    </row>
    <row r="40" spans="1:17" x14ac:dyDescent="0.25">
      <c r="A40" s="61">
        <v>13</v>
      </c>
      <c r="B40" s="1" t="str">
        <f t="shared" si="12"/>
        <v/>
      </c>
      <c r="C40" s="1"/>
      <c r="E40" s="61" t="str">
        <f t="shared" si="8"/>
        <v/>
      </c>
      <c r="F40" s="51" t="str">
        <f t="shared" si="9"/>
        <v/>
      </c>
      <c r="G40" s="51" t="str">
        <f t="shared" si="0"/>
        <v/>
      </c>
      <c r="H40" s="51" t="str">
        <f t="shared" si="1"/>
        <v/>
      </c>
      <c r="I40" s="51" t="str">
        <f t="shared" si="10"/>
        <v/>
      </c>
      <c r="K40" t="str">
        <f t="shared" si="2"/>
        <v/>
      </c>
      <c r="L40" s="51">
        <f t="shared" ca="1" si="3"/>
        <v>102</v>
      </c>
      <c r="M40" s="51" t="str">
        <f t="shared" ca="1" si="11"/>
        <v/>
      </c>
      <c r="N40" s="51">
        <f t="shared" ca="1" si="4"/>
        <v>0</v>
      </c>
      <c r="O40" s="62" t="str">
        <f t="shared" ca="1" si="5"/>
        <v/>
      </c>
      <c r="P40" s="62" t="str">
        <f t="shared" si="6"/>
        <v/>
      </c>
      <c r="Q40" s="62" t="str">
        <f t="shared" si="7"/>
        <v/>
      </c>
    </row>
    <row r="41" spans="1:17" x14ac:dyDescent="0.25">
      <c r="A41" s="61">
        <v>14</v>
      </c>
      <c r="B41" s="1" t="str">
        <f t="shared" si="12"/>
        <v/>
      </c>
      <c r="C41" s="1"/>
      <c r="E41" s="61" t="str">
        <f t="shared" si="8"/>
        <v/>
      </c>
      <c r="F41" s="51" t="str">
        <f t="shared" si="9"/>
        <v/>
      </c>
      <c r="G41" s="51" t="str">
        <f t="shared" si="0"/>
        <v/>
      </c>
      <c r="H41" s="51" t="str">
        <f t="shared" si="1"/>
        <v/>
      </c>
      <c r="I41" s="51" t="str">
        <f t="shared" si="10"/>
        <v/>
      </c>
      <c r="K41" t="str">
        <f t="shared" si="2"/>
        <v/>
      </c>
      <c r="L41" s="51">
        <f t="shared" ca="1" si="3"/>
        <v>102</v>
      </c>
      <c r="M41" s="51" t="str">
        <f t="shared" ca="1" si="11"/>
        <v/>
      </c>
      <c r="N41" s="51">
        <f t="shared" ca="1" si="4"/>
        <v>0</v>
      </c>
      <c r="O41" s="62" t="str">
        <f t="shared" ca="1" si="5"/>
        <v/>
      </c>
      <c r="P41" s="62" t="str">
        <f t="shared" si="6"/>
        <v/>
      </c>
      <c r="Q41" s="62" t="str">
        <f t="shared" si="7"/>
        <v/>
      </c>
    </row>
    <row r="42" spans="1:17" x14ac:dyDescent="0.25">
      <c r="A42" s="61">
        <v>15</v>
      </c>
      <c r="B42" s="1" t="str">
        <f t="shared" si="12"/>
        <v/>
      </c>
      <c r="C42" s="1"/>
      <c r="E42" s="61" t="str">
        <f t="shared" si="8"/>
        <v/>
      </c>
      <c r="F42" s="51" t="str">
        <f t="shared" si="9"/>
        <v/>
      </c>
      <c r="G42" s="51" t="str">
        <f t="shared" si="0"/>
        <v/>
      </c>
      <c r="H42" s="51" t="str">
        <f t="shared" si="1"/>
        <v/>
      </c>
      <c r="I42" s="51" t="str">
        <f t="shared" si="10"/>
        <v/>
      </c>
      <c r="K42" t="str">
        <f t="shared" si="2"/>
        <v/>
      </c>
      <c r="L42" s="51">
        <f t="shared" ca="1" si="3"/>
        <v>102</v>
      </c>
      <c r="M42" s="51" t="str">
        <f t="shared" ca="1" si="11"/>
        <v/>
      </c>
      <c r="N42" s="51">
        <f t="shared" ca="1" si="4"/>
        <v>0</v>
      </c>
      <c r="O42" s="62" t="str">
        <f t="shared" ca="1" si="5"/>
        <v/>
      </c>
      <c r="P42" s="62" t="str">
        <f t="shared" si="6"/>
        <v/>
      </c>
      <c r="Q42" s="62" t="str">
        <f t="shared" si="7"/>
        <v/>
      </c>
    </row>
    <row r="43" spans="1:17" x14ac:dyDescent="0.25">
      <c r="A43" s="61">
        <v>16</v>
      </c>
      <c r="B43" s="1" t="str">
        <f t="shared" si="12"/>
        <v/>
      </c>
      <c r="C43" s="1"/>
      <c r="E43" s="61" t="str">
        <f t="shared" si="8"/>
        <v/>
      </c>
      <c r="F43" s="51" t="str">
        <f t="shared" si="9"/>
        <v/>
      </c>
      <c r="G43" s="51" t="str">
        <f t="shared" si="0"/>
        <v/>
      </c>
      <c r="H43" s="51" t="str">
        <f t="shared" si="1"/>
        <v/>
      </c>
      <c r="I43" s="51" t="str">
        <f t="shared" si="10"/>
        <v/>
      </c>
      <c r="K43" t="str">
        <f t="shared" si="2"/>
        <v/>
      </c>
      <c r="L43" s="51">
        <f t="shared" ca="1" si="3"/>
        <v>102</v>
      </c>
      <c r="M43" s="51" t="str">
        <f t="shared" ca="1" si="11"/>
        <v/>
      </c>
      <c r="N43" s="51">
        <f t="shared" ca="1" si="4"/>
        <v>0</v>
      </c>
      <c r="O43" s="62" t="str">
        <f t="shared" ca="1" si="5"/>
        <v/>
      </c>
      <c r="P43" s="62" t="str">
        <f t="shared" si="6"/>
        <v/>
      </c>
      <c r="Q43" s="62" t="str">
        <f t="shared" si="7"/>
        <v/>
      </c>
    </row>
    <row r="44" spans="1:17" x14ac:dyDescent="0.25">
      <c r="A44" s="61">
        <v>17</v>
      </c>
      <c r="B44" s="1" t="str">
        <f t="shared" si="12"/>
        <v/>
      </c>
      <c r="C44" s="1"/>
      <c r="E44" s="61" t="str">
        <f t="shared" si="8"/>
        <v/>
      </c>
      <c r="F44" s="51" t="str">
        <f t="shared" si="9"/>
        <v/>
      </c>
      <c r="G44" s="51" t="str">
        <f t="shared" si="0"/>
        <v/>
      </c>
      <c r="H44" s="51" t="str">
        <f t="shared" si="1"/>
        <v/>
      </c>
      <c r="I44" s="51" t="str">
        <f t="shared" si="10"/>
        <v/>
      </c>
      <c r="K44" t="str">
        <f t="shared" si="2"/>
        <v/>
      </c>
      <c r="L44" s="51">
        <f t="shared" ca="1" si="3"/>
        <v>102</v>
      </c>
      <c r="M44" s="51" t="str">
        <f t="shared" ca="1" si="11"/>
        <v/>
      </c>
      <c r="N44" s="51">
        <f t="shared" ca="1" si="4"/>
        <v>0</v>
      </c>
      <c r="O44" s="62" t="str">
        <f t="shared" ca="1" si="5"/>
        <v/>
      </c>
      <c r="P44" s="62" t="str">
        <f t="shared" si="6"/>
        <v/>
      </c>
      <c r="Q44" s="62" t="str">
        <f t="shared" si="7"/>
        <v/>
      </c>
    </row>
    <row r="45" spans="1:17" x14ac:dyDescent="0.25">
      <c r="A45" s="61">
        <v>18</v>
      </c>
      <c r="B45" s="1" t="str">
        <f t="shared" si="12"/>
        <v/>
      </c>
      <c r="C45" s="1"/>
      <c r="E45" s="61" t="str">
        <f t="shared" si="8"/>
        <v/>
      </c>
      <c r="F45" s="51" t="str">
        <f t="shared" si="9"/>
        <v/>
      </c>
      <c r="G45" s="51" t="str">
        <f t="shared" si="0"/>
        <v/>
      </c>
      <c r="H45" s="51" t="str">
        <f t="shared" si="1"/>
        <v/>
      </c>
      <c r="I45" s="51" t="str">
        <f t="shared" si="10"/>
        <v/>
      </c>
      <c r="K45" t="str">
        <f t="shared" si="2"/>
        <v/>
      </c>
      <c r="L45" s="51">
        <f t="shared" ca="1" si="3"/>
        <v>102</v>
      </c>
      <c r="M45" s="51" t="str">
        <f t="shared" ca="1" si="11"/>
        <v/>
      </c>
      <c r="N45" s="51">
        <f t="shared" ca="1" si="4"/>
        <v>0</v>
      </c>
      <c r="O45" s="62" t="str">
        <f t="shared" ca="1" si="5"/>
        <v/>
      </c>
      <c r="P45" s="62" t="str">
        <f t="shared" si="6"/>
        <v/>
      </c>
      <c r="Q45" s="62" t="str">
        <f t="shared" si="7"/>
        <v/>
      </c>
    </row>
    <row r="46" spans="1:17" x14ac:dyDescent="0.25">
      <c r="A46" s="61">
        <v>19</v>
      </c>
      <c r="B46" s="1" t="str">
        <f t="shared" si="12"/>
        <v/>
      </c>
      <c r="C46" s="1"/>
      <c r="E46" s="61" t="str">
        <f t="shared" si="8"/>
        <v/>
      </c>
      <c r="F46" s="51" t="str">
        <f t="shared" si="9"/>
        <v/>
      </c>
      <c r="G46" s="51" t="str">
        <f t="shared" si="0"/>
        <v/>
      </c>
      <c r="H46" s="51" t="str">
        <f t="shared" si="1"/>
        <v/>
      </c>
      <c r="I46" s="51" t="str">
        <f t="shared" si="10"/>
        <v/>
      </c>
      <c r="K46" t="str">
        <f t="shared" si="2"/>
        <v/>
      </c>
      <c r="L46" s="51">
        <f t="shared" ca="1" si="3"/>
        <v>102</v>
      </c>
      <c r="M46" s="51" t="str">
        <f t="shared" ca="1" si="11"/>
        <v/>
      </c>
      <c r="N46" s="51">
        <f t="shared" ca="1" si="4"/>
        <v>0</v>
      </c>
      <c r="O46" s="62" t="str">
        <f t="shared" ca="1" si="5"/>
        <v/>
      </c>
      <c r="P46" s="62" t="str">
        <f t="shared" si="6"/>
        <v/>
      </c>
      <c r="Q46" s="62" t="str">
        <f t="shared" si="7"/>
        <v/>
      </c>
    </row>
    <row r="47" spans="1:17" x14ac:dyDescent="0.25">
      <c r="A47" s="61">
        <v>20</v>
      </c>
      <c r="B47" s="1" t="str">
        <f t="shared" si="12"/>
        <v/>
      </c>
      <c r="C47" s="1"/>
      <c r="E47" s="61" t="str">
        <f t="shared" si="8"/>
        <v/>
      </c>
      <c r="F47" s="51" t="str">
        <f t="shared" si="9"/>
        <v/>
      </c>
      <c r="G47" s="51" t="str">
        <f t="shared" si="0"/>
        <v/>
      </c>
      <c r="H47" s="51" t="str">
        <f t="shared" si="1"/>
        <v/>
      </c>
      <c r="I47" s="51" t="str">
        <f t="shared" si="10"/>
        <v/>
      </c>
      <c r="K47" t="str">
        <f t="shared" si="2"/>
        <v/>
      </c>
      <c r="L47" s="51">
        <f t="shared" ca="1" si="3"/>
        <v>102</v>
      </c>
      <c r="M47" s="51" t="str">
        <f t="shared" ca="1" si="11"/>
        <v/>
      </c>
      <c r="N47" s="51">
        <f t="shared" ca="1" si="4"/>
        <v>0</v>
      </c>
      <c r="O47" s="62" t="str">
        <f t="shared" ca="1" si="5"/>
        <v/>
      </c>
      <c r="P47" s="62" t="str">
        <f t="shared" si="6"/>
        <v/>
      </c>
      <c r="Q47" s="62" t="str">
        <f t="shared" si="7"/>
        <v/>
      </c>
    </row>
    <row r="48" spans="1:17" x14ac:dyDescent="0.25">
      <c r="A48" s="61">
        <v>21</v>
      </c>
      <c r="B48" s="1" t="str">
        <f t="shared" si="12"/>
        <v/>
      </c>
      <c r="C48" s="1"/>
      <c r="E48" s="61" t="str">
        <f t="shared" si="8"/>
        <v/>
      </c>
      <c r="F48" s="51" t="str">
        <f t="shared" si="9"/>
        <v/>
      </c>
      <c r="G48" s="51" t="str">
        <f t="shared" si="0"/>
        <v/>
      </c>
      <c r="H48" s="51" t="str">
        <f t="shared" si="1"/>
        <v/>
      </c>
      <c r="I48" s="51" t="str">
        <f t="shared" si="10"/>
        <v/>
      </c>
      <c r="K48" t="str">
        <f t="shared" si="2"/>
        <v/>
      </c>
      <c r="L48" s="51">
        <f t="shared" ca="1" si="3"/>
        <v>102</v>
      </c>
      <c r="M48" s="51" t="str">
        <f t="shared" ca="1" si="11"/>
        <v/>
      </c>
      <c r="N48" s="51">
        <f t="shared" ca="1" si="4"/>
        <v>0</v>
      </c>
      <c r="O48" s="62" t="str">
        <f t="shared" ca="1" si="5"/>
        <v/>
      </c>
      <c r="P48" s="62" t="str">
        <f t="shared" si="6"/>
        <v/>
      </c>
      <c r="Q48" s="62" t="str">
        <f t="shared" si="7"/>
        <v/>
      </c>
    </row>
    <row r="49" spans="1:17" x14ac:dyDescent="0.25">
      <c r="A49" s="61">
        <v>22</v>
      </c>
      <c r="B49" s="1" t="str">
        <f t="shared" si="12"/>
        <v/>
      </c>
      <c r="C49" s="1"/>
      <c r="E49" s="61" t="str">
        <f t="shared" si="8"/>
        <v/>
      </c>
      <c r="F49" s="51" t="str">
        <f t="shared" si="9"/>
        <v/>
      </c>
      <c r="G49" s="51" t="str">
        <f t="shared" si="0"/>
        <v/>
      </c>
      <c r="H49" s="51" t="str">
        <f t="shared" si="1"/>
        <v/>
      </c>
      <c r="I49" s="51" t="str">
        <f t="shared" si="10"/>
        <v/>
      </c>
      <c r="K49" t="str">
        <f t="shared" si="2"/>
        <v/>
      </c>
      <c r="L49" s="51">
        <f t="shared" ca="1" si="3"/>
        <v>102</v>
      </c>
      <c r="M49" s="51" t="str">
        <f t="shared" ca="1" si="11"/>
        <v/>
      </c>
      <c r="N49" s="51">
        <f t="shared" ca="1" si="4"/>
        <v>0</v>
      </c>
      <c r="O49" s="62" t="str">
        <f t="shared" ca="1" si="5"/>
        <v/>
      </c>
      <c r="P49" s="62" t="str">
        <f t="shared" si="6"/>
        <v/>
      </c>
      <c r="Q49" s="62" t="str">
        <f t="shared" si="7"/>
        <v/>
      </c>
    </row>
    <row r="50" spans="1:17" x14ac:dyDescent="0.25">
      <c r="A50" s="61">
        <v>23</v>
      </c>
      <c r="B50" s="1" t="str">
        <f t="shared" si="12"/>
        <v/>
      </c>
      <c r="C50" s="1"/>
      <c r="E50" s="61" t="str">
        <f t="shared" si="8"/>
        <v/>
      </c>
      <c r="F50" s="51" t="str">
        <f t="shared" si="9"/>
        <v/>
      </c>
      <c r="G50" s="51" t="str">
        <f t="shared" si="0"/>
        <v/>
      </c>
      <c r="H50" s="51" t="str">
        <f t="shared" si="1"/>
        <v/>
      </c>
      <c r="I50" s="51" t="str">
        <f t="shared" si="10"/>
        <v/>
      </c>
      <c r="K50" t="str">
        <f t="shared" si="2"/>
        <v/>
      </c>
      <c r="L50" s="51">
        <f t="shared" ca="1" si="3"/>
        <v>102</v>
      </c>
      <c r="M50" s="51" t="str">
        <f t="shared" ca="1" si="11"/>
        <v/>
      </c>
      <c r="N50" s="51">
        <f t="shared" ca="1" si="4"/>
        <v>0</v>
      </c>
      <c r="O50" s="62" t="str">
        <f t="shared" ca="1" si="5"/>
        <v/>
      </c>
      <c r="P50" s="62" t="str">
        <f t="shared" si="6"/>
        <v/>
      </c>
      <c r="Q50" s="62" t="str">
        <f t="shared" si="7"/>
        <v/>
      </c>
    </row>
    <row r="51" spans="1:17" x14ac:dyDescent="0.25">
      <c r="A51" s="61">
        <v>24</v>
      </c>
      <c r="B51" s="1" t="str">
        <f t="shared" si="12"/>
        <v/>
      </c>
      <c r="C51" s="1"/>
      <c r="E51" s="61" t="str">
        <f t="shared" si="8"/>
        <v/>
      </c>
      <c r="F51" s="51" t="str">
        <f t="shared" si="9"/>
        <v/>
      </c>
      <c r="G51" s="51" t="str">
        <f t="shared" si="0"/>
        <v/>
      </c>
      <c r="H51" s="51" t="str">
        <f t="shared" si="1"/>
        <v/>
      </c>
      <c r="I51" s="51" t="str">
        <f t="shared" si="10"/>
        <v/>
      </c>
      <c r="K51" t="str">
        <f t="shared" si="2"/>
        <v/>
      </c>
      <c r="L51" s="51">
        <f t="shared" ca="1" si="3"/>
        <v>102</v>
      </c>
      <c r="M51" s="51" t="str">
        <f t="shared" ca="1" si="11"/>
        <v/>
      </c>
      <c r="N51" s="51">
        <f t="shared" ca="1" si="4"/>
        <v>0</v>
      </c>
      <c r="O51" s="62" t="str">
        <f t="shared" ca="1" si="5"/>
        <v/>
      </c>
      <c r="P51" s="62" t="str">
        <f t="shared" si="6"/>
        <v/>
      </c>
      <c r="Q51" s="62" t="str">
        <f t="shared" si="7"/>
        <v/>
      </c>
    </row>
  </sheetData>
  <sheetProtection selectLockedCells="1" selectUnlockedCells="1"/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V64"/>
  <sheetViews>
    <sheetView workbookViewId="0">
      <pane ySplit="14" topLeftCell="A15" activePane="bottomLeft" state="frozen"/>
      <selection pane="bottomLeft" activeCell="P18" sqref="P18"/>
    </sheetView>
  </sheetViews>
  <sheetFormatPr defaultColWidth="9.109375" defaultRowHeight="13.2" x14ac:dyDescent="0.25"/>
  <cols>
    <col min="1" max="1" width="43.44140625" style="43" customWidth="1"/>
    <col min="2" max="2" width="8.5546875" style="41" customWidth="1"/>
    <col min="3" max="3" width="13.6640625" style="43" customWidth="1"/>
    <col min="4" max="4" width="10.88671875" style="43" customWidth="1"/>
    <col min="5" max="5" width="6.5546875" style="41" customWidth="1"/>
    <col min="6" max="30" width="4.44140625" style="41" customWidth="1"/>
    <col min="31" max="16384" width="9.109375" style="43"/>
  </cols>
  <sheetData>
    <row r="1" spans="1:256" ht="17.399999999999999" x14ac:dyDescent="0.25">
      <c r="A1" s="63">
        <v>1</v>
      </c>
      <c r="B1" s="6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256" x14ac:dyDescent="0.25"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</row>
    <row r="9" spans="1:256" x14ac:dyDescent="0.25">
      <c r="A9" s="65" t="s">
        <v>91</v>
      </c>
      <c r="B9" s="66">
        <v>14</v>
      </c>
      <c r="C9" s="65"/>
      <c r="D9" s="67"/>
      <c r="E9" s="65" t="s">
        <v>92</v>
      </c>
      <c r="F9" s="65" t="s">
        <v>93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256" x14ac:dyDescent="0.25">
      <c r="A10" s="65" t="s">
        <v>94</v>
      </c>
      <c r="B10" s="66">
        <v>14</v>
      </c>
      <c r="C10" s="65" t="s">
        <v>3</v>
      </c>
      <c r="D10" s="65" t="s">
        <v>95</v>
      </c>
      <c r="E10" s="68">
        <f ca="1">SUM(OFFSET(E14,1,0,TaskRows,1))</f>
        <v>40</v>
      </c>
      <c r="F10" s="68">
        <f ca="1">IF(AND(SUM(OFFSET(F14,1,0,TaskRows,1))=0),0,SUM(OFFSET(F14,1,0,TaskRows,1)))</f>
        <v>37</v>
      </c>
      <c r="G10" s="68">
        <f t="shared" ref="G10:AD10" ca="1" si="0">IF(AND(SUM(OFFSET(G14,1,0,TaskRows,1))=0),"",SUM(OFFSET(G14,1,0,TaskRows,1)))</f>
        <v>34</v>
      </c>
      <c r="H10" s="68">
        <f t="shared" ca="1" si="0"/>
        <v>31</v>
      </c>
      <c r="I10" s="68">
        <f t="shared" ca="1" si="0"/>
        <v>26</v>
      </c>
      <c r="J10" s="68">
        <f t="shared" ca="1" si="0"/>
        <v>25</v>
      </c>
      <c r="K10" s="68">
        <f t="shared" ca="1" si="0"/>
        <v>23</v>
      </c>
      <c r="L10" s="68">
        <f t="shared" ca="1" si="0"/>
        <v>20</v>
      </c>
      <c r="M10" s="68">
        <f t="shared" ca="1" si="0"/>
        <v>17</v>
      </c>
      <c r="N10" s="68">
        <f t="shared" ca="1" si="0"/>
        <v>14</v>
      </c>
      <c r="O10" s="68">
        <f t="shared" ca="1" si="0"/>
        <v>12</v>
      </c>
      <c r="P10" s="68">
        <f t="shared" ca="1" si="0"/>
        <v>11</v>
      </c>
      <c r="Q10" s="68">
        <f t="shared" ca="1" si="0"/>
        <v>7</v>
      </c>
      <c r="R10" s="68">
        <f t="shared" ca="1" si="0"/>
        <v>5</v>
      </c>
      <c r="S10" s="68" t="str">
        <f t="shared" ca="1" si="0"/>
        <v/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256" hidden="1" x14ac:dyDescent="0.25">
      <c r="A11" t="s">
        <v>96</v>
      </c>
      <c r="B11" s="1">
        <f>IF(COUNTA(A15:A242)=0,1,COUNTA(A15:A242))</f>
        <v>6</v>
      </c>
      <c r="C11" t="s">
        <v>97</v>
      </c>
      <c r="D11" s="1">
        <f ca="1">IF(COUNTIF(F10:AD10,"&gt;0")=0,1,COUNTIF(F10:AD10,"&gt;0"))</f>
        <v>13</v>
      </c>
      <c r="E11" s="1"/>
      <c r="F11" s="1">
        <f ca="1">IF(F14="","",$E10-$E10/($B9-1)*(F14-1))</f>
        <v>40</v>
      </c>
      <c r="G11" s="1">
        <f t="shared" ref="G11:AD11" ca="1" si="1">IF(G14="","",TotalEffort-TotalEffort/(ImplementationDays)*(G14-1))</f>
        <v>37.142857142857146</v>
      </c>
      <c r="H11" s="1">
        <f t="shared" ca="1" si="1"/>
        <v>34.285714285714285</v>
      </c>
      <c r="I11" s="1">
        <f t="shared" ca="1" si="1"/>
        <v>31.428571428571431</v>
      </c>
      <c r="J11" s="1">
        <f t="shared" ca="1" si="1"/>
        <v>28.571428571428569</v>
      </c>
      <c r="K11" s="1">
        <f t="shared" ca="1" si="1"/>
        <v>25.714285714285715</v>
      </c>
      <c r="L11" s="1">
        <f t="shared" ca="1" si="1"/>
        <v>22.857142857142858</v>
      </c>
      <c r="M11" s="1">
        <f t="shared" ca="1" si="1"/>
        <v>20</v>
      </c>
      <c r="N11" s="1">
        <f t="shared" ca="1" si="1"/>
        <v>17.142857142857142</v>
      </c>
      <c r="O11" s="1">
        <f t="shared" ca="1" si="1"/>
        <v>14.285714285714285</v>
      </c>
      <c r="P11" s="1">
        <f t="shared" ca="1" si="1"/>
        <v>11.428571428571427</v>
      </c>
      <c r="Q11" s="1">
        <f t="shared" ca="1" si="1"/>
        <v>8.5714285714285694</v>
      </c>
      <c r="R11" s="1">
        <f t="shared" ca="1" si="1"/>
        <v>5.7142857142857153</v>
      </c>
      <c r="S11" s="1">
        <f t="shared" ca="1" si="1"/>
        <v>2.8571428571428541</v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hidden="1" x14ac:dyDescent="0.25">
      <c r="A12" s="53" t="s">
        <v>98</v>
      </c>
      <c r="B12"/>
      <c r="C12" t="s">
        <v>62</v>
      </c>
      <c r="D12" s="1"/>
      <c r="E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35.879120879120876</v>
      </c>
      <c r="G12" s="1">
        <f t="shared" ca="1" si="2"/>
        <v>33.258241758241759</v>
      </c>
      <c r="H12" s="1">
        <f t="shared" ca="1" si="2"/>
        <v>30.637362637362635</v>
      </c>
      <c r="I12" s="1">
        <f t="shared" ca="1" si="2"/>
        <v>28.016483516483515</v>
      </c>
      <c r="J12" s="1">
        <f t="shared" ca="1" si="2"/>
        <v>25.395604395604394</v>
      </c>
      <c r="K12" s="1">
        <f t="shared" ca="1" si="2"/>
        <v>22.77472527472527</v>
      </c>
      <c r="L12" s="1">
        <f t="shared" ca="1" si="2"/>
        <v>20.15384615384615</v>
      </c>
      <c r="M12" s="1">
        <f t="shared" ca="1" si="2"/>
        <v>17.532967032967029</v>
      </c>
      <c r="N12" s="1">
        <f t="shared" ca="1" si="2"/>
        <v>14.912087912087909</v>
      </c>
      <c r="O12" s="1">
        <f t="shared" ca="1" si="2"/>
        <v>12.291208791208788</v>
      </c>
      <c r="P12" s="1">
        <f t="shared" ca="1" si="2"/>
        <v>9.6703296703296644</v>
      </c>
      <c r="Q12" s="1">
        <f t="shared" ca="1" si="2"/>
        <v>7.0494505494505439</v>
      </c>
      <c r="R12" s="1">
        <f t="shared" ca="1" si="2"/>
        <v>4.4285714285714235</v>
      </c>
      <c r="S12" s="1">
        <f t="shared" ca="1" si="2"/>
        <v>1.8076923076922995</v>
      </c>
      <c r="T12" s="1" t="str">
        <f t="shared" ca="1" si="2"/>
        <v/>
      </c>
      <c r="U12" s="1" t="str">
        <f t="shared" ca="1" si="2"/>
        <v/>
      </c>
      <c r="V12" s="1" t="str">
        <f t="shared" ca="1" si="2"/>
        <v/>
      </c>
      <c r="W12" s="1" t="str">
        <f t="shared" ca="1" si="2"/>
        <v/>
      </c>
      <c r="X12" s="1" t="str">
        <f t="shared" ca="1" si="2"/>
        <v/>
      </c>
      <c r="Y12" s="1" t="str">
        <f t="shared" ca="1" si="2"/>
        <v/>
      </c>
      <c r="Z12" s="1" t="str">
        <f t="shared" ca="1" si="2"/>
        <v/>
      </c>
      <c r="AA12" s="1" t="str">
        <f t="shared" ca="1" si="2"/>
        <v/>
      </c>
      <c r="AB12" s="1" t="str">
        <f t="shared" ca="1" si="2"/>
        <v/>
      </c>
      <c r="AC12" s="1" t="str">
        <f t="shared" ca="1" si="2"/>
        <v/>
      </c>
      <c r="AD12" s="1" t="str">
        <f t="shared" ca="1" si="2"/>
        <v/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hidden="1" x14ac:dyDescent="0.25">
      <c r="A13" s="53" t="s">
        <v>99</v>
      </c>
      <c r="B13"/>
      <c r="C13" t="s">
        <v>100</v>
      </c>
      <c r="D13" s="1">
        <f ca="1">IF(DoneDays&gt;B10,B10,DoneDays)</f>
        <v>13</v>
      </c>
      <c r="E13" s="1"/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5">
      <c r="A14" s="65" t="s">
        <v>101</v>
      </c>
      <c r="B14" s="69" t="s">
        <v>17</v>
      </c>
      <c r="C14" s="65" t="s">
        <v>102</v>
      </c>
      <c r="D14" s="65" t="s">
        <v>6</v>
      </c>
      <c r="E14" s="69" t="s">
        <v>103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 t="str">
        <f t="shared" si="3"/>
        <v/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256" x14ac:dyDescent="0.25">
      <c r="A15" s="70" t="s">
        <v>120</v>
      </c>
      <c r="B15" s="1">
        <v>1</v>
      </c>
      <c r="C15" s="70" t="s">
        <v>121</v>
      </c>
      <c r="D15" s="70" t="s">
        <v>13</v>
      </c>
      <c r="E15" s="1">
        <v>4</v>
      </c>
      <c r="F15" s="1">
        <f>IF(OR(F$14="",$E15=""),"",E15)</f>
        <v>4</v>
      </c>
      <c r="G15" s="1">
        <v>4</v>
      </c>
      <c r="H15" s="1">
        <v>2</v>
      </c>
      <c r="I15" s="1">
        <v>2</v>
      </c>
      <c r="J15" s="41">
        <v>2</v>
      </c>
      <c r="K15" s="41">
        <v>1</v>
      </c>
      <c r="L15" s="41">
        <v>1</v>
      </c>
      <c r="M15" s="41">
        <v>1</v>
      </c>
      <c r="N15" s="41">
        <v>1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</row>
    <row r="16" spans="1:256" x14ac:dyDescent="0.25">
      <c r="A16" s="70" t="s">
        <v>25</v>
      </c>
      <c r="B16" s="1">
        <v>3</v>
      </c>
      <c r="C16" s="70" t="s">
        <v>132</v>
      </c>
      <c r="D16" s="70" t="s">
        <v>13</v>
      </c>
      <c r="E16" s="1">
        <v>18</v>
      </c>
      <c r="F16" s="1">
        <v>17</v>
      </c>
      <c r="G16" s="1">
        <v>15</v>
      </c>
      <c r="H16" s="1">
        <v>15</v>
      </c>
      <c r="I16" s="1">
        <v>13</v>
      </c>
      <c r="J16" s="41">
        <v>12</v>
      </c>
      <c r="K16" s="41">
        <v>12</v>
      </c>
      <c r="L16" s="41">
        <v>10</v>
      </c>
      <c r="M16" s="41">
        <v>8</v>
      </c>
      <c r="N16" s="41">
        <v>5</v>
      </c>
      <c r="O16" s="41">
        <v>5</v>
      </c>
      <c r="P16" s="41">
        <v>5</v>
      </c>
      <c r="Q16" s="41">
        <v>2</v>
      </c>
      <c r="R16" s="41">
        <v>2</v>
      </c>
      <c r="S16" s="41">
        <v>0</v>
      </c>
    </row>
    <row r="17" spans="1:30" x14ac:dyDescent="0.25">
      <c r="A17" s="70" t="s">
        <v>122</v>
      </c>
      <c r="B17" s="1">
        <v>4</v>
      </c>
      <c r="C17" s="70" t="s">
        <v>124</v>
      </c>
      <c r="D17" s="70" t="s">
        <v>13</v>
      </c>
      <c r="E17" s="1">
        <v>4</v>
      </c>
      <c r="F17" s="1">
        <f>IF(OR(F$14="",$E17=""),"",E17)</f>
        <v>4</v>
      </c>
      <c r="G17" s="1">
        <v>4</v>
      </c>
      <c r="H17" s="1">
        <v>4</v>
      </c>
      <c r="I17" s="1">
        <v>3</v>
      </c>
      <c r="J17" s="41">
        <v>3</v>
      </c>
      <c r="K17" s="41">
        <v>3</v>
      </c>
      <c r="L17" s="41">
        <v>3</v>
      </c>
      <c r="M17" s="41">
        <v>2</v>
      </c>
      <c r="N17" s="41">
        <v>2</v>
      </c>
      <c r="O17" s="41">
        <v>2</v>
      </c>
      <c r="P17" s="41">
        <v>2</v>
      </c>
      <c r="Q17" s="41">
        <v>2</v>
      </c>
      <c r="R17" s="41">
        <v>1</v>
      </c>
      <c r="S17" s="41">
        <v>0</v>
      </c>
      <c r="AC17" s="41" t="str">
        <f>IF(OR(AC$14="",$E17=""),"",AB17)</f>
        <v/>
      </c>
      <c r="AD17" s="41" t="str">
        <f>IF(OR(AD$14="",$E17=""),"",AC17)</f>
        <v/>
      </c>
    </row>
    <row r="18" spans="1:30" x14ac:dyDescent="0.25">
      <c r="A18" s="70" t="s">
        <v>125</v>
      </c>
      <c r="B18" s="1">
        <v>8</v>
      </c>
      <c r="C18" s="70" t="s">
        <v>121</v>
      </c>
      <c r="D18" s="70" t="s">
        <v>13</v>
      </c>
      <c r="E18" s="1">
        <v>4</v>
      </c>
      <c r="F18" s="1">
        <f>IF(OR(F$14="",$E18=""),"",E18)</f>
        <v>4</v>
      </c>
      <c r="G18" s="1">
        <v>4</v>
      </c>
      <c r="H18" s="1">
        <v>4</v>
      </c>
      <c r="I18" s="1">
        <v>2</v>
      </c>
      <c r="J18" s="41">
        <v>2</v>
      </c>
      <c r="K18" s="41">
        <v>2</v>
      </c>
      <c r="L18" s="41">
        <v>2</v>
      </c>
      <c r="M18" s="41">
        <v>2</v>
      </c>
      <c r="N18" s="41">
        <v>2</v>
      </c>
      <c r="O18" s="41">
        <v>2</v>
      </c>
      <c r="P18" s="41">
        <v>1</v>
      </c>
      <c r="Q18" s="41">
        <v>1</v>
      </c>
      <c r="R18" s="41">
        <v>0</v>
      </c>
      <c r="S18" s="41">
        <v>0</v>
      </c>
    </row>
    <row r="19" spans="1:30" x14ac:dyDescent="0.25">
      <c r="A19" s="49" t="s">
        <v>126</v>
      </c>
      <c r="B19" s="41">
        <v>11</v>
      </c>
      <c r="C19" s="70" t="s">
        <v>127</v>
      </c>
      <c r="D19" s="43" t="s">
        <v>13</v>
      </c>
      <c r="E19" s="41">
        <v>4</v>
      </c>
      <c r="F19" s="41">
        <f>IF(OR(F$14="",$E19=""),"",E19)</f>
        <v>4</v>
      </c>
      <c r="G19" s="41">
        <v>4</v>
      </c>
      <c r="H19" s="41">
        <v>3</v>
      </c>
      <c r="I19" s="41">
        <v>3</v>
      </c>
      <c r="J19" s="41">
        <v>3</v>
      </c>
      <c r="K19" s="41">
        <v>2</v>
      </c>
      <c r="L19" s="41">
        <v>2</v>
      </c>
      <c r="M19" s="41">
        <v>2</v>
      </c>
      <c r="N19" s="41">
        <v>2</v>
      </c>
      <c r="O19" s="41">
        <v>1</v>
      </c>
      <c r="P19" s="41">
        <v>1</v>
      </c>
      <c r="Q19" s="41">
        <v>1</v>
      </c>
      <c r="R19" s="41">
        <v>1</v>
      </c>
      <c r="S19" s="41">
        <v>0</v>
      </c>
      <c r="AC19" s="41" t="str">
        <f t="shared" ref="AC19:AC24" si="4">IF(OR(AC$14="",$E19=""),"",AB19)</f>
        <v/>
      </c>
      <c r="AD19" s="41" t="str">
        <f t="shared" ref="AD19:AD24" si="5">IF(OR(AD$14="",$E19=""),"",AC19)</f>
        <v/>
      </c>
    </row>
    <row r="20" spans="1:30" x14ac:dyDescent="0.25">
      <c r="A20" s="49" t="s">
        <v>131</v>
      </c>
      <c r="B20" s="41">
        <v>13</v>
      </c>
      <c r="C20" s="70" t="s">
        <v>124</v>
      </c>
      <c r="D20" s="43" t="s">
        <v>13</v>
      </c>
      <c r="E20" s="41">
        <v>6</v>
      </c>
      <c r="F20" s="41">
        <v>4</v>
      </c>
      <c r="G20" s="41">
        <v>3</v>
      </c>
      <c r="H20" s="41">
        <v>3</v>
      </c>
      <c r="I20" s="41">
        <v>3</v>
      </c>
      <c r="J20" s="41">
        <v>3</v>
      </c>
      <c r="K20" s="41">
        <v>3</v>
      </c>
      <c r="L20" s="41">
        <v>2</v>
      </c>
      <c r="M20" s="41">
        <v>2</v>
      </c>
      <c r="N20" s="41">
        <v>2</v>
      </c>
      <c r="O20" s="41">
        <v>2</v>
      </c>
      <c r="P20" s="41">
        <v>2</v>
      </c>
      <c r="Q20" s="41">
        <v>1</v>
      </c>
      <c r="R20" s="41">
        <v>1</v>
      </c>
      <c r="S20" s="41">
        <v>0</v>
      </c>
      <c r="AC20" s="41" t="str">
        <f t="shared" si="4"/>
        <v/>
      </c>
      <c r="AD20" s="41" t="str">
        <f t="shared" si="5"/>
        <v/>
      </c>
    </row>
    <row r="21" spans="1:30" x14ac:dyDescent="0.25">
      <c r="A21" s="49"/>
      <c r="C21" s="70"/>
      <c r="AC21" s="41" t="str">
        <f t="shared" si="4"/>
        <v/>
      </c>
      <c r="AD21" s="41" t="str">
        <f t="shared" si="5"/>
        <v/>
      </c>
    </row>
    <row r="22" spans="1:30" x14ac:dyDescent="0.25">
      <c r="A22" s="49"/>
      <c r="C22" s="70"/>
      <c r="AC22" s="41" t="str">
        <f t="shared" si="4"/>
        <v/>
      </c>
      <c r="AD22" s="41" t="str">
        <f t="shared" si="5"/>
        <v/>
      </c>
    </row>
    <row r="23" spans="1:30" ht="15" customHeight="1" x14ac:dyDescent="0.25">
      <c r="A23" s="49"/>
      <c r="C23" s="70"/>
      <c r="AC23" s="41" t="str">
        <f t="shared" si="4"/>
        <v/>
      </c>
      <c r="AD23" s="41" t="str">
        <f t="shared" si="5"/>
        <v/>
      </c>
    </row>
    <row r="24" spans="1:30" x14ac:dyDescent="0.25">
      <c r="A24" s="49"/>
      <c r="C24" s="70"/>
      <c r="AC24" s="41" t="str">
        <f t="shared" si="4"/>
        <v/>
      </c>
      <c r="AD24" s="41" t="str">
        <f t="shared" si="5"/>
        <v/>
      </c>
    </row>
    <row r="25" spans="1:30" x14ac:dyDescent="0.25">
      <c r="A25" s="49"/>
      <c r="C25" s="70"/>
    </row>
    <row r="26" spans="1:30" x14ac:dyDescent="0.25">
      <c r="A26" s="49"/>
      <c r="C26" s="70"/>
      <c r="AC26" s="41" t="str">
        <f t="shared" ref="AC26:AC34" si="6">IF(OR(AC$14="",$E26=""),"",AB26)</f>
        <v/>
      </c>
      <c r="AD26" s="41" t="str">
        <f t="shared" ref="AD26:AD34" si="7">IF(OR(AD$14="",$E26=""),"",AC26)</f>
        <v/>
      </c>
    </row>
    <row r="27" spans="1:30" x14ac:dyDescent="0.25">
      <c r="A27" s="49"/>
      <c r="C27" s="70"/>
      <c r="AC27" s="41" t="str">
        <f t="shared" si="6"/>
        <v/>
      </c>
      <c r="AD27" s="41" t="str">
        <f t="shared" si="7"/>
        <v/>
      </c>
    </row>
    <row r="28" spans="1:30" x14ac:dyDescent="0.25">
      <c r="A28" s="49"/>
      <c r="C28" s="70"/>
      <c r="AC28" s="41" t="str">
        <f t="shared" si="6"/>
        <v/>
      </c>
      <c r="AD28" s="41" t="str">
        <f t="shared" si="7"/>
        <v/>
      </c>
    </row>
    <row r="29" spans="1:30" x14ac:dyDescent="0.25">
      <c r="A29" s="49"/>
      <c r="C29" s="70"/>
      <c r="AC29" s="41" t="str">
        <f t="shared" si="6"/>
        <v/>
      </c>
      <c r="AD29" s="41" t="str">
        <f t="shared" si="7"/>
        <v/>
      </c>
    </row>
    <row r="30" spans="1:30" x14ac:dyDescent="0.25">
      <c r="A30" s="49"/>
      <c r="C30" s="70"/>
      <c r="AC30" s="41" t="str">
        <f t="shared" si="6"/>
        <v/>
      </c>
      <c r="AD30" s="41" t="str">
        <f t="shared" si="7"/>
        <v/>
      </c>
    </row>
    <row r="31" spans="1:30" x14ac:dyDescent="0.25">
      <c r="A31" s="49"/>
      <c r="C31" s="70"/>
      <c r="AC31" s="41" t="str">
        <f t="shared" si="6"/>
        <v/>
      </c>
      <c r="AD31" s="41" t="str">
        <f t="shared" si="7"/>
        <v/>
      </c>
    </row>
    <row r="32" spans="1:30" x14ac:dyDescent="0.25">
      <c r="A32" s="49"/>
      <c r="C32" s="70"/>
      <c r="AC32" s="41" t="str">
        <f t="shared" si="6"/>
        <v/>
      </c>
      <c r="AD32" s="41" t="str">
        <f t="shared" si="7"/>
        <v/>
      </c>
    </row>
    <row r="33" spans="1:30" x14ac:dyDescent="0.25">
      <c r="A33" s="49"/>
      <c r="C33" s="70"/>
      <c r="AC33" s="41" t="str">
        <f t="shared" si="6"/>
        <v/>
      </c>
      <c r="AD33" s="41" t="str">
        <f t="shared" si="7"/>
        <v/>
      </c>
    </row>
    <row r="34" spans="1:30" x14ac:dyDescent="0.25">
      <c r="A34" s="49"/>
      <c r="C34" s="70"/>
      <c r="AC34" s="41" t="str">
        <f t="shared" si="6"/>
        <v/>
      </c>
      <c r="AD34" s="41" t="str">
        <f t="shared" si="7"/>
        <v/>
      </c>
    </row>
    <row r="35" spans="1:30" x14ac:dyDescent="0.25">
      <c r="A35" s="49"/>
      <c r="C35" s="70"/>
    </row>
    <row r="36" spans="1:30" x14ac:dyDescent="0.25">
      <c r="A36" s="49"/>
      <c r="C36" s="70"/>
      <c r="AC36" s="41" t="str">
        <f t="shared" ref="AC36:AC63" si="8">IF(OR(AC$14="",$E36=""),"",AB36)</f>
        <v/>
      </c>
      <c r="AD36" s="41" t="str">
        <f t="shared" ref="AD36:AD63" si="9">IF(OR(AD$14="",$E36=""),"",AC36)</f>
        <v/>
      </c>
    </row>
    <row r="37" spans="1:30" x14ac:dyDescent="0.25">
      <c r="A37" s="49"/>
      <c r="C37" s="70"/>
      <c r="AC37" s="41" t="str">
        <f t="shared" si="8"/>
        <v/>
      </c>
      <c r="AD37" s="41" t="str">
        <f t="shared" si="9"/>
        <v/>
      </c>
    </row>
    <row r="38" spans="1:30" x14ac:dyDescent="0.25">
      <c r="A38" s="49"/>
      <c r="C38" s="70"/>
      <c r="AC38" s="41" t="str">
        <f t="shared" si="8"/>
        <v/>
      </c>
      <c r="AD38" s="41" t="str">
        <f t="shared" si="9"/>
        <v/>
      </c>
    </row>
    <row r="39" spans="1:30" x14ac:dyDescent="0.25">
      <c r="A39" s="49"/>
      <c r="C39" s="70"/>
      <c r="AC39" s="41" t="str">
        <f t="shared" si="8"/>
        <v/>
      </c>
      <c r="AD39" s="41" t="str">
        <f t="shared" si="9"/>
        <v/>
      </c>
    </row>
    <row r="40" spans="1:30" x14ac:dyDescent="0.25">
      <c r="A40" s="49"/>
      <c r="C40" s="70"/>
      <c r="AC40" s="41" t="str">
        <f t="shared" si="8"/>
        <v/>
      </c>
      <c r="AD40" s="41" t="str">
        <f t="shared" si="9"/>
        <v/>
      </c>
    </row>
    <row r="41" spans="1:30" x14ac:dyDescent="0.25">
      <c r="A41" s="49"/>
      <c r="C41" s="70"/>
      <c r="D41" s="43" t="str">
        <f t="shared" ref="D41:D64" si="10">IF(A41&lt;&gt;"","Planned","")</f>
        <v/>
      </c>
      <c r="F41" s="41" t="str">
        <f t="shared" ref="F41:F63" si="11">IF(OR(F$14="",$E41=""),"",E41)</f>
        <v/>
      </c>
      <c r="AC41" s="41" t="str">
        <f t="shared" si="8"/>
        <v/>
      </c>
      <c r="AD41" s="41" t="str">
        <f t="shared" si="9"/>
        <v/>
      </c>
    </row>
    <row r="42" spans="1:30" x14ac:dyDescent="0.25">
      <c r="C42" s="70"/>
      <c r="D42" s="43" t="str">
        <f t="shared" si="10"/>
        <v/>
      </c>
      <c r="F42" s="41" t="str">
        <f t="shared" si="11"/>
        <v/>
      </c>
      <c r="AC42" s="41" t="str">
        <f t="shared" si="8"/>
        <v/>
      </c>
      <c r="AD42" s="41" t="str">
        <f t="shared" si="9"/>
        <v/>
      </c>
    </row>
    <row r="43" spans="1:30" x14ac:dyDescent="0.25">
      <c r="C43" s="70"/>
      <c r="D43" s="43" t="str">
        <f t="shared" si="10"/>
        <v/>
      </c>
      <c r="F43" s="41" t="str">
        <f t="shared" si="11"/>
        <v/>
      </c>
      <c r="AC43" s="41" t="str">
        <f t="shared" si="8"/>
        <v/>
      </c>
      <c r="AD43" s="41" t="str">
        <f t="shared" si="9"/>
        <v/>
      </c>
    </row>
    <row r="44" spans="1:30" x14ac:dyDescent="0.25">
      <c r="C44" s="70"/>
      <c r="D44" s="43" t="str">
        <f t="shared" si="10"/>
        <v/>
      </c>
      <c r="F44" s="41" t="str">
        <f t="shared" si="11"/>
        <v/>
      </c>
      <c r="AC44" s="41" t="str">
        <f t="shared" si="8"/>
        <v/>
      </c>
      <c r="AD44" s="41" t="str">
        <f t="shared" si="9"/>
        <v/>
      </c>
    </row>
    <row r="45" spans="1:30" x14ac:dyDescent="0.25">
      <c r="C45" s="70"/>
      <c r="D45" s="43" t="str">
        <f t="shared" si="10"/>
        <v/>
      </c>
      <c r="F45" s="41" t="str">
        <f t="shared" si="11"/>
        <v/>
      </c>
      <c r="AC45" s="41" t="str">
        <f t="shared" si="8"/>
        <v/>
      </c>
      <c r="AD45" s="41" t="str">
        <f t="shared" si="9"/>
        <v/>
      </c>
    </row>
    <row r="46" spans="1:30" x14ac:dyDescent="0.25">
      <c r="C46" s="70"/>
      <c r="D46" s="43" t="str">
        <f t="shared" si="10"/>
        <v/>
      </c>
      <c r="F46" s="41" t="str">
        <f t="shared" si="11"/>
        <v/>
      </c>
      <c r="AC46" s="41" t="str">
        <f t="shared" si="8"/>
        <v/>
      </c>
      <c r="AD46" s="41" t="str">
        <f t="shared" si="9"/>
        <v/>
      </c>
    </row>
    <row r="47" spans="1:30" x14ac:dyDescent="0.25">
      <c r="C47" s="70"/>
      <c r="D47" s="43" t="str">
        <f t="shared" si="10"/>
        <v/>
      </c>
      <c r="F47" s="41" t="str">
        <f t="shared" si="11"/>
        <v/>
      </c>
      <c r="AC47" s="41" t="str">
        <f t="shared" si="8"/>
        <v/>
      </c>
      <c r="AD47" s="41" t="str">
        <f t="shared" si="9"/>
        <v/>
      </c>
    </row>
    <row r="48" spans="1:30" x14ac:dyDescent="0.25">
      <c r="C48" s="70"/>
      <c r="D48" s="43" t="str">
        <f t="shared" si="10"/>
        <v/>
      </c>
      <c r="F48" s="41" t="str">
        <f t="shared" si="11"/>
        <v/>
      </c>
      <c r="AC48" s="41" t="str">
        <f t="shared" si="8"/>
        <v/>
      </c>
      <c r="AD48" s="41" t="str">
        <f t="shared" si="9"/>
        <v/>
      </c>
    </row>
    <row r="49" spans="3:30" x14ac:dyDescent="0.25">
      <c r="C49" s="70"/>
      <c r="D49" s="43" t="str">
        <f t="shared" si="10"/>
        <v/>
      </c>
      <c r="F49" s="41" t="str">
        <f t="shared" si="11"/>
        <v/>
      </c>
      <c r="AC49" s="41" t="str">
        <f t="shared" si="8"/>
        <v/>
      </c>
      <c r="AD49" s="41" t="str">
        <f t="shared" si="9"/>
        <v/>
      </c>
    </row>
    <row r="50" spans="3:30" x14ac:dyDescent="0.25">
      <c r="C50" s="70"/>
      <c r="D50" s="43" t="str">
        <f t="shared" si="10"/>
        <v/>
      </c>
      <c r="F50" s="41" t="str">
        <f t="shared" si="11"/>
        <v/>
      </c>
      <c r="AC50" s="41" t="str">
        <f t="shared" si="8"/>
        <v/>
      </c>
      <c r="AD50" s="41" t="str">
        <f t="shared" si="9"/>
        <v/>
      </c>
    </row>
    <row r="51" spans="3:30" x14ac:dyDescent="0.25">
      <c r="C51" s="70"/>
      <c r="D51" s="43" t="str">
        <f t="shared" si="10"/>
        <v/>
      </c>
      <c r="F51" s="41" t="str">
        <f t="shared" si="11"/>
        <v/>
      </c>
      <c r="AC51" s="41" t="str">
        <f t="shared" si="8"/>
        <v/>
      </c>
      <c r="AD51" s="41" t="str">
        <f t="shared" si="9"/>
        <v/>
      </c>
    </row>
    <row r="52" spans="3:30" x14ac:dyDescent="0.25">
      <c r="C52" s="70"/>
      <c r="D52" s="43" t="str">
        <f t="shared" si="10"/>
        <v/>
      </c>
      <c r="F52" s="41" t="str">
        <f t="shared" si="11"/>
        <v/>
      </c>
      <c r="AC52" s="41" t="str">
        <f t="shared" si="8"/>
        <v/>
      </c>
      <c r="AD52" s="41" t="str">
        <f t="shared" si="9"/>
        <v/>
      </c>
    </row>
    <row r="53" spans="3:30" x14ac:dyDescent="0.25">
      <c r="C53" s="70"/>
      <c r="D53" s="43" t="str">
        <f t="shared" si="10"/>
        <v/>
      </c>
      <c r="F53" s="41" t="str">
        <f t="shared" si="11"/>
        <v/>
      </c>
      <c r="AC53" s="41" t="str">
        <f t="shared" si="8"/>
        <v/>
      </c>
      <c r="AD53" s="41" t="str">
        <f t="shared" si="9"/>
        <v/>
      </c>
    </row>
    <row r="54" spans="3:30" x14ac:dyDescent="0.25">
      <c r="C54" s="70"/>
      <c r="D54" s="43" t="str">
        <f t="shared" si="10"/>
        <v/>
      </c>
      <c r="F54" s="41" t="str">
        <f t="shared" si="11"/>
        <v/>
      </c>
      <c r="AC54" s="41" t="str">
        <f t="shared" si="8"/>
        <v/>
      </c>
      <c r="AD54" s="41" t="str">
        <f t="shared" si="9"/>
        <v/>
      </c>
    </row>
    <row r="55" spans="3:30" x14ac:dyDescent="0.25">
      <c r="C55" s="70"/>
      <c r="D55" s="43" t="str">
        <f t="shared" si="10"/>
        <v/>
      </c>
      <c r="F55" s="41" t="str">
        <f t="shared" si="11"/>
        <v/>
      </c>
      <c r="AC55" s="41" t="str">
        <f t="shared" si="8"/>
        <v/>
      </c>
      <c r="AD55" s="41" t="str">
        <f t="shared" si="9"/>
        <v/>
      </c>
    </row>
    <row r="56" spans="3:30" x14ac:dyDescent="0.25">
      <c r="C56" s="70"/>
      <c r="D56" s="43" t="str">
        <f t="shared" si="10"/>
        <v/>
      </c>
      <c r="F56" s="41" t="str">
        <f t="shared" si="11"/>
        <v/>
      </c>
      <c r="AC56" s="41" t="str">
        <f t="shared" si="8"/>
        <v/>
      </c>
      <c r="AD56" s="41" t="str">
        <f t="shared" si="9"/>
        <v/>
      </c>
    </row>
    <row r="57" spans="3:30" x14ac:dyDescent="0.25">
      <c r="C57" s="70"/>
      <c r="D57" s="43" t="str">
        <f t="shared" si="10"/>
        <v/>
      </c>
      <c r="F57" s="41" t="str">
        <f t="shared" si="11"/>
        <v/>
      </c>
      <c r="AC57" s="41" t="str">
        <f t="shared" si="8"/>
        <v/>
      </c>
      <c r="AD57" s="41" t="str">
        <f t="shared" si="9"/>
        <v/>
      </c>
    </row>
    <row r="58" spans="3:30" x14ac:dyDescent="0.25">
      <c r="C58" s="70"/>
      <c r="D58" s="43" t="str">
        <f t="shared" si="10"/>
        <v/>
      </c>
      <c r="F58" s="41" t="str">
        <f t="shared" si="11"/>
        <v/>
      </c>
      <c r="AC58" s="41" t="str">
        <f t="shared" si="8"/>
        <v/>
      </c>
      <c r="AD58" s="41" t="str">
        <f t="shared" si="9"/>
        <v/>
      </c>
    </row>
    <row r="59" spans="3:30" x14ac:dyDescent="0.25">
      <c r="C59"/>
      <c r="D59" s="43" t="str">
        <f t="shared" si="10"/>
        <v/>
      </c>
      <c r="F59" s="41" t="str">
        <f t="shared" si="11"/>
        <v/>
      </c>
      <c r="AC59" s="41" t="str">
        <f t="shared" si="8"/>
        <v/>
      </c>
      <c r="AD59" s="41" t="str">
        <f t="shared" si="9"/>
        <v/>
      </c>
    </row>
    <row r="60" spans="3:30" x14ac:dyDescent="0.25">
      <c r="C60"/>
      <c r="D60" s="43" t="str">
        <f t="shared" si="10"/>
        <v/>
      </c>
      <c r="F60" s="41" t="str">
        <f t="shared" si="11"/>
        <v/>
      </c>
      <c r="AC60" s="41" t="str">
        <f t="shared" si="8"/>
        <v/>
      </c>
      <c r="AD60" s="41" t="str">
        <f t="shared" si="9"/>
        <v/>
      </c>
    </row>
    <row r="61" spans="3:30" x14ac:dyDescent="0.25">
      <c r="C61"/>
      <c r="D61" s="43" t="str">
        <f t="shared" si="10"/>
        <v/>
      </c>
      <c r="F61" s="41" t="str">
        <f t="shared" si="11"/>
        <v/>
      </c>
      <c r="AC61" s="41" t="str">
        <f t="shared" si="8"/>
        <v/>
      </c>
      <c r="AD61" s="41" t="str">
        <f t="shared" si="9"/>
        <v/>
      </c>
    </row>
    <row r="62" spans="3:30" x14ac:dyDescent="0.25">
      <c r="C62"/>
      <c r="D62" s="43" t="str">
        <f t="shared" si="10"/>
        <v/>
      </c>
      <c r="F62" s="41" t="str">
        <f t="shared" si="11"/>
        <v/>
      </c>
      <c r="G62" s="41" t="str">
        <f t="shared" ref="G62:AB62" si="12">IF(OR(G$14="",$E62=""),"",F62)</f>
        <v/>
      </c>
      <c r="H62" s="41" t="str">
        <f t="shared" si="12"/>
        <v/>
      </c>
      <c r="I62" s="41" t="str">
        <f t="shared" si="12"/>
        <v/>
      </c>
      <c r="J62" s="41" t="str">
        <f t="shared" si="12"/>
        <v/>
      </c>
      <c r="K62" s="41" t="str">
        <f t="shared" si="12"/>
        <v/>
      </c>
      <c r="L62" s="41" t="str">
        <f t="shared" si="12"/>
        <v/>
      </c>
      <c r="M62" s="41" t="str">
        <f t="shared" si="12"/>
        <v/>
      </c>
      <c r="N62" s="41" t="str">
        <f t="shared" si="12"/>
        <v/>
      </c>
      <c r="O62" s="41" t="str">
        <f t="shared" si="12"/>
        <v/>
      </c>
      <c r="P62" s="41" t="str">
        <f t="shared" si="12"/>
        <v/>
      </c>
      <c r="Q62" s="41" t="str">
        <f t="shared" si="12"/>
        <v/>
      </c>
      <c r="R62" s="41" t="str">
        <f t="shared" si="12"/>
        <v/>
      </c>
      <c r="S62" s="41" t="str">
        <f t="shared" si="12"/>
        <v/>
      </c>
      <c r="T62" s="41" t="str">
        <f t="shared" si="12"/>
        <v/>
      </c>
      <c r="U62" s="41" t="str">
        <f t="shared" si="12"/>
        <v/>
      </c>
      <c r="V62" s="41" t="str">
        <f t="shared" si="12"/>
        <v/>
      </c>
      <c r="W62" s="41" t="str">
        <f t="shared" si="12"/>
        <v/>
      </c>
      <c r="X62" s="41" t="str">
        <f t="shared" si="12"/>
        <v/>
      </c>
      <c r="Y62" s="41" t="str">
        <f t="shared" si="12"/>
        <v/>
      </c>
      <c r="Z62" s="41" t="str">
        <f t="shared" si="12"/>
        <v/>
      </c>
      <c r="AA62" s="41" t="str">
        <f t="shared" si="12"/>
        <v/>
      </c>
      <c r="AB62" s="41" t="str">
        <f t="shared" si="12"/>
        <v/>
      </c>
      <c r="AC62" s="41" t="str">
        <f t="shared" si="8"/>
        <v/>
      </c>
      <c r="AD62" s="41" t="str">
        <f t="shared" si="9"/>
        <v/>
      </c>
    </row>
    <row r="63" spans="3:30" x14ac:dyDescent="0.25">
      <c r="C63"/>
      <c r="D63" s="43" t="str">
        <f t="shared" si="10"/>
        <v/>
      </c>
      <c r="F63" s="41" t="str">
        <f t="shared" si="11"/>
        <v/>
      </c>
      <c r="G63" s="41" t="str">
        <f t="shared" ref="G63:AB63" si="13">IF(OR(G$14="",$E63=""),"",F63)</f>
        <v/>
      </c>
      <c r="H63" s="41" t="str">
        <f t="shared" si="13"/>
        <v/>
      </c>
      <c r="I63" s="41" t="str">
        <f t="shared" si="13"/>
        <v/>
      </c>
      <c r="J63" s="41" t="str">
        <f t="shared" si="13"/>
        <v/>
      </c>
      <c r="K63" s="41" t="str">
        <f t="shared" si="13"/>
        <v/>
      </c>
      <c r="L63" s="41" t="str">
        <f t="shared" si="13"/>
        <v/>
      </c>
      <c r="M63" s="41" t="str">
        <f t="shared" si="13"/>
        <v/>
      </c>
      <c r="N63" s="41" t="str">
        <f t="shared" si="13"/>
        <v/>
      </c>
      <c r="O63" s="41" t="str">
        <f t="shared" si="13"/>
        <v/>
      </c>
      <c r="P63" s="41" t="str">
        <f t="shared" si="13"/>
        <v/>
      </c>
      <c r="Q63" s="41" t="str">
        <f t="shared" si="13"/>
        <v/>
      </c>
      <c r="R63" s="41" t="str">
        <f t="shared" si="13"/>
        <v/>
      </c>
      <c r="S63" s="41" t="str">
        <f t="shared" si="13"/>
        <v/>
      </c>
      <c r="T63" s="41" t="str">
        <f t="shared" si="13"/>
        <v/>
      </c>
      <c r="U63" s="41" t="str">
        <f t="shared" si="13"/>
        <v/>
      </c>
      <c r="V63" s="41" t="str">
        <f t="shared" si="13"/>
        <v/>
      </c>
      <c r="W63" s="41" t="str">
        <f t="shared" si="13"/>
        <v/>
      </c>
      <c r="X63" s="41" t="str">
        <f t="shared" si="13"/>
        <v/>
      </c>
      <c r="Y63" s="41" t="str">
        <f t="shared" si="13"/>
        <v/>
      </c>
      <c r="Z63" s="41" t="str">
        <f t="shared" si="13"/>
        <v/>
      </c>
      <c r="AA63" s="41" t="str">
        <f t="shared" si="13"/>
        <v/>
      </c>
      <c r="AB63" s="41" t="str">
        <f t="shared" si="13"/>
        <v/>
      </c>
      <c r="AC63" s="41" t="str">
        <f t="shared" si="8"/>
        <v/>
      </c>
      <c r="AD63" s="41" t="str">
        <f t="shared" si="9"/>
        <v/>
      </c>
    </row>
    <row r="64" spans="3:30" x14ac:dyDescent="0.25">
      <c r="C64"/>
      <c r="D64" s="43" t="str">
        <f t="shared" si="10"/>
        <v/>
      </c>
    </row>
  </sheetData>
  <sheetProtection selectLockedCells="1" selectUnlockedCells="1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qref="D3:D8 D15:D64" xr:uid="{00000000-0002-0000-0300-000000000000}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A2" sqref="A2"/>
    </sheetView>
  </sheetViews>
  <sheetFormatPr defaultColWidth="9" defaultRowHeight="13.2" x14ac:dyDescent="0.25"/>
  <cols>
    <col min="1" max="1" width="38.44140625" customWidth="1"/>
    <col min="2" max="2" width="8.5546875" style="1" customWidth="1"/>
    <col min="3" max="3" width="13.6640625" customWidth="1"/>
    <col min="4" max="4" width="10.88671875" customWidth="1"/>
    <col min="5" max="5" width="6.5546875" style="1" customWidth="1"/>
    <col min="6" max="30" width="4.44140625" style="1" customWidth="1"/>
  </cols>
  <sheetData>
    <row r="1" spans="1:30" ht="17.399999999999999" x14ac:dyDescent="0.3">
      <c r="A1" s="71" t="s">
        <v>133</v>
      </c>
      <c r="B1" s="72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</row>
    <row r="2" spans="1:30" x14ac:dyDescent="0.25"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</row>
    <row r="9" spans="1:30" x14ac:dyDescent="0.25">
      <c r="A9" s="73" t="s">
        <v>91</v>
      </c>
      <c r="B9" s="74">
        <v>5</v>
      </c>
      <c r="C9" s="73"/>
      <c r="D9" s="75"/>
      <c r="E9" s="76" t="s">
        <v>92</v>
      </c>
      <c r="F9" s="76" t="s">
        <v>93</v>
      </c>
      <c r="G9" s="76"/>
      <c r="H9" s="76"/>
      <c r="I9" s="76"/>
      <c r="J9" s="76"/>
      <c r="K9" s="76"/>
      <c r="L9" s="76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spans="1:30" x14ac:dyDescent="0.25">
      <c r="A10" s="73" t="s">
        <v>94</v>
      </c>
      <c r="B10" s="74">
        <v>5</v>
      </c>
      <c r="C10" s="73" t="s">
        <v>3</v>
      </c>
      <c r="D10" s="73" t="s">
        <v>95</v>
      </c>
      <c r="E10" s="78">
        <f ca="1">SUM(OFFSET(E14,1,0,TaskRows,1))</f>
        <v>0</v>
      </c>
      <c r="F10" s="78">
        <f ca="1">IF(AND(SUM(OFFSET(F14,1,0,TaskRows,1))=0),0,SUM(OFFSET(F14,1,0,TaskRows,1)))</f>
        <v>0</v>
      </c>
      <c r="G10" s="78" t="str">
        <f t="shared" ref="G10:AD10" ca="1" si="0">IF(AND(SUM(OFFSET(G14,1,0,TaskRows,1))=0),"",SUM(OFFSET(G14,1,0,TaskRows,1)))</f>
        <v/>
      </c>
      <c r="H10" s="78" t="str">
        <f t="shared" ca="1" si="0"/>
        <v/>
      </c>
      <c r="I10" s="78" t="str">
        <f t="shared" ca="1" si="0"/>
        <v/>
      </c>
      <c r="J10" s="78" t="str">
        <f t="shared" ca="1" si="0"/>
        <v/>
      </c>
      <c r="K10" s="78" t="str">
        <f t="shared" ca="1" si="0"/>
        <v/>
      </c>
      <c r="L10" s="78" t="str">
        <f t="shared" ca="1" si="0"/>
        <v/>
      </c>
      <c r="M10" s="78" t="str">
        <f t="shared" ca="1" si="0"/>
        <v/>
      </c>
      <c r="N10" s="78" t="str">
        <f t="shared" ca="1" si="0"/>
        <v/>
      </c>
      <c r="O10" s="78" t="str">
        <f t="shared" ca="1" si="0"/>
        <v/>
      </c>
      <c r="P10" s="78" t="str">
        <f t="shared" ca="1" si="0"/>
        <v/>
      </c>
      <c r="Q10" s="78" t="str">
        <f t="shared" ca="1" si="0"/>
        <v/>
      </c>
      <c r="R10" s="78" t="str">
        <f t="shared" ca="1" si="0"/>
        <v/>
      </c>
      <c r="S10" s="78" t="str">
        <f t="shared" ca="1" si="0"/>
        <v/>
      </c>
      <c r="T10" s="78" t="str">
        <f t="shared" ca="1" si="0"/>
        <v/>
      </c>
      <c r="U10" s="78" t="str">
        <f t="shared" ca="1" si="0"/>
        <v/>
      </c>
      <c r="V10" s="78" t="str">
        <f t="shared" ca="1" si="0"/>
        <v/>
      </c>
      <c r="W10" s="78" t="str">
        <f t="shared" ca="1" si="0"/>
        <v/>
      </c>
      <c r="X10" s="78" t="str">
        <f t="shared" ca="1" si="0"/>
        <v/>
      </c>
      <c r="Y10" s="78" t="str">
        <f t="shared" ca="1" si="0"/>
        <v/>
      </c>
      <c r="Z10" s="78" t="str">
        <f t="shared" ca="1" si="0"/>
        <v/>
      </c>
      <c r="AA10" s="78" t="str">
        <f t="shared" ca="1" si="0"/>
        <v/>
      </c>
      <c r="AB10" s="78" t="str">
        <f t="shared" ca="1" si="0"/>
        <v/>
      </c>
      <c r="AC10" s="78" t="str">
        <f t="shared" ca="1" si="0"/>
        <v/>
      </c>
      <c r="AD10" s="78" t="str">
        <f t="shared" ca="1" si="0"/>
        <v/>
      </c>
    </row>
    <row r="11" spans="1:30" hidden="1" x14ac:dyDescent="0.25">
      <c r="A11" t="s">
        <v>96</v>
      </c>
      <c r="B11" s="1">
        <f>IF(COUNTA(A15:A242)=0,1,COUNTA(A15:A242))</f>
        <v>1</v>
      </c>
      <c r="C11" t="s">
        <v>97</v>
      </c>
      <c r="D11" s="1">
        <f ca="1">IF(COUNTIF(F10:AD10,"&gt;0")=0,1,COUNTIF(F10:AD10,"&gt;0"))</f>
        <v>1</v>
      </c>
      <c r="F11" s="1">
        <f ca="1">IF(F14="","",$E10-$E10/($B9-1)*(F14-1))</f>
        <v>0</v>
      </c>
      <c r="G11" s="1">
        <f t="shared" ref="G11:AD11" ca="1" si="1">IF(G14="","",TotalEffort-TotalEffort/(ImplementationDays)*(G14-1))</f>
        <v>0</v>
      </c>
      <c r="H11" s="1">
        <f t="shared" ca="1" si="1"/>
        <v>0</v>
      </c>
      <c r="I11" s="1">
        <f t="shared" ca="1" si="1"/>
        <v>0</v>
      </c>
      <c r="J11" s="1">
        <f t="shared" ca="1" si="1"/>
        <v>0</v>
      </c>
      <c r="K11" s="1" t="str">
        <f t="shared" si="1"/>
        <v/>
      </c>
      <c r="L11" s="1" t="str">
        <f t="shared" si="1"/>
        <v/>
      </c>
      <c r="M11" s="1" t="str">
        <f t="shared" si="1"/>
        <v/>
      </c>
      <c r="N11" s="1" t="str">
        <f t="shared" si="1"/>
        <v/>
      </c>
      <c r="O11" s="1" t="str">
        <f t="shared" si="1"/>
        <v/>
      </c>
      <c r="P11" s="1" t="str">
        <f t="shared" si="1"/>
        <v/>
      </c>
      <c r="Q11" s="1" t="str">
        <f t="shared" si="1"/>
        <v/>
      </c>
      <c r="R11" s="1" t="str">
        <f t="shared" si="1"/>
        <v/>
      </c>
      <c r="S11" s="1" t="str">
        <f t="shared" si="1"/>
        <v/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</row>
    <row r="12" spans="1:30" hidden="1" x14ac:dyDescent="0.25">
      <c r="A12" s="53" t="s">
        <v>98</v>
      </c>
      <c r="B12"/>
      <c r="C12" t="s">
        <v>62</v>
      </c>
      <c r="D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1">
        <f t="shared" ca="1" si="2"/>
        <v>0</v>
      </c>
      <c r="H12" s="1">
        <f t="shared" ca="1" si="2"/>
        <v>0</v>
      </c>
      <c r="I12" s="1">
        <f t="shared" ca="1" si="2"/>
        <v>0</v>
      </c>
      <c r="J12" s="1">
        <f t="shared" ca="1" si="2"/>
        <v>0</v>
      </c>
      <c r="K12" s="1">
        <f t="shared" ca="1" si="2"/>
        <v>0</v>
      </c>
      <c r="L12" s="1">
        <f t="shared" ca="1" si="2"/>
        <v>0</v>
      </c>
      <c r="M12" s="1">
        <f t="shared" ca="1" si="2"/>
        <v>0</v>
      </c>
      <c r="N12" s="1">
        <f t="shared" ca="1" si="2"/>
        <v>0</v>
      </c>
      <c r="O12" s="1">
        <f t="shared" ca="1" si="2"/>
        <v>0</v>
      </c>
      <c r="P12" s="1">
        <f t="shared" ca="1" si="2"/>
        <v>0</v>
      </c>
      <c r="Q12" s="1">
        <f t="shared" ca="1" si="2"/>
        <v>0</v>
      </c>
      <c r="R12" s="1">
        <f t="shared" ca="1" si="2"/>
        <v>0</v>
      </c>
      <c r="S12" s="1">
        <f t="shared" ca="1" si="2"/>
        <v>0</v>
      </c>
      <c r="T12" s="1">
        <f t="shared" ca="1" si="2"/>
        <v>0</v>
      </c>
      <c r="U12" s="1">
        <f t="shared" ca="1" si="2"/>
        <v>0</v>
      </c>
      <c r="V12" s="1">
        <f t="shared" ca="1" si="2"/>
        <v>0</v>
      </c>
      <c r="W12" s="1">
        <f t="shared" ca="1" si="2"/>
        <v>0</v>
      </c>
      <c r="X12" s="1">
        <f t="shared" ca="1" si="2"/>
        <v>0</v>
      </c>
      <c r="Y12" s="1">
        <f t="shared" ca="1" si="2"/>
        <v>0</v>
      </c>
      <c r="Z12" s="1">
        <f t="shared" ca="1" si="2"/>
        <v>0</v>
      </c>
      <c r="AA12" s="1">
        <f t="shared" ca="1" si="2"/>
        <v>0</v>
      </c>
      <c r="AB12" s="1">
        <f t="shared" ca="1" si="2"/>
        <v>0</v>
      </c>
      <c r="AC12" s="1">
        <f t="shared" ca="1" si="2"/>
        <v>0</v>
      </c>
      <c r="AD12" s="1">
        <f t="shared" ca="1" si="2"/>
        <v>0</v>
      </c>
    </row>
    <row r="13" spans="1:30" hidden="1" x14ac:dyDescent="0.25">
      <c r="A13" s="53" t="s">
        <v>99</v>
      </c>
      <c r="B13"/>
      <c r="C13" t="s">
        <v>100</v>
      </c>
      <c r="D13" s="1">
        <f ca="1">IF(DoneDays&gt;B10,B10,DoneDays)</f>
        <v>1</v>
      </c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</row>
    <row r="14" spans="1:30" x14ac:dyDescent="0.25">
      <c r="A14" s="73" t="s">
        <v>101</v>
      </c>
      <c r="B14" s="79" t="s">
        <v>17</v>
      </c>
      <c r="C14" s="73" t="s">
        <v>102</v>
      </c>
      <c r="D14" s="73" t="s">
        <v>6</v>
      </c>
      <c r="E14" s="79" t="s">
        <v>103</v>
      </c>
      <c r="F14" s="79">
        <v>1</v>
      </c>
      <c r="G14" s="79">
        <f t="shared" ref="G14:AD14" si="3">IF($B$9&gt;F14,F14+1,"")</f>
        <v>2</v>
      </c>
      <c r="H14" s="79">
        <f t="shared" si="3"/>
        <v>3</v>
      </c>
      <c r="I14" s="79">
        <f t="shared" si="3"/>
        <v>4</v>
      </c>
      <c r="J14" s="79">
        <f t="shared" si="3"/>
        <v>5</v>
      </c>
      <c r="K14" s="79" t="str">
        <f t="shared" si="3"/>
        <v/>
      </c>
      <c r="L14" s="79" t="str">
        <f t="shared" si="3"/>
        <v/>
      </c>
      <c r="M14" s="79" t="str">
        <f t="shared" si="3"/>
        <v/>
      </c>
      <c r="N14" s="79" t="str">
        <f t="shared" si="3"/>
        <v/>
      </c>
      <c r="O14" s="79" t="str">
        <f t="shared" si="3"/>
        <v/>
      </c>
      <c r="P14" s="79" t="str">
        <f t="shared" si="3"/>
        <v/>
      </c>
      <c r="Q14" s="79" t="str">
        <f t="shared" si="3"/>
        <v/>
      </c>
      <c r="R14" s="79" t="str">
        <f t="shared" si="3"/>
        <v/>
      </c>
      <c r="S14" s="79" t="str">
        <f t="shared" si="3"/>
        <v/>
      </c>
      <c r="T14" s="79" t="str">
        <f t="shared" si="3"/>
        <v/>
      </c>
      <c r="U14" s="79" t="str">
        <f t="shared" si="3"/>
        <v/>
      </c>
      <c r="V14" s="79" t="str">
        <f t="shared" si="3"/>
        <v/>
      </c>
      <c r="W14" s="79" t="str">
        <f t="shared" si="3"/>
        <v/>
      </c>
      <c r="X14" s="79" t="str">
        <f t="shared" si="3"/>
        <v/>
      </c>
      <c r="Y14" s="79" t="str">
        <f t="shared" si="3"/>
        <v/>
      </c>
      <c r="Z14" s="79" t="str">
        <f t="shared" si="3"/>
        <v/>
      </c>
      <c r="AA14" s="79" t="str">
        <f t="shared" si="3"/>
        <v/>
      </c>
      <c r="AB14" s="79" t="str">
        <f t="shared" si="3"/>
        <v/>
      </c>
      <c r="AC14" s="79" t="str">
        <f t="shared" si="3"/>
        <v/>
      </c>
      <c r="AD14" s="79" t="str">
        <f t="shared" si="3"/>
        <v/>
      </c>
    </row>
    <row r="15" spans="1:30" x14ac:dyDescent="0.25">
      <c r="D15" t="str">
        <f t="shared" ref="D15:D59" si="4">IF(A15&lt;&gt;"","Planned","")</f>
        <v/>
      </c>
      <c r="F15" s="1" t="str">
        <f t="shared" ref="F15:F59" si="5">IF(OR(F$14="",$E15=""),"",E15)</f>
        <v/>
      </c>
    </row>
    <row r="16" spans="1:30" x14ac:dyDescent="0.25">
      <c r="D16" t="str">
        <f t="shared" si="4"/>
        <v/>
      </c>
      <c r="F16" s="1" t="str">
        <f t="shared" si="5"/>
        <v/>
      </c>
      <c r="AC16" s="1" t="str">
        <f t="shared" ref="AC16:AC59" si="6">IF(OR(AC$14="",$E16=""),"",AB16)</f>
        <v/>
      </c>
      <c r="AD16" s="1" t="str">
        <f t="shared" ref="AD16:AD59" si="7">IF(OR(AD$14="",$E16=""),"",AC16)</f>
        <v/>
      </c>
    </row>
    <row r="17" spans="1:30" x14ac:dyDescent="0.25">
      <c r="D17" t="str">
        <f t="shared" si="4"/>
        <v/>
      </c>
      <c r="F17" s="1" t="str">
        <f t="shared" si="5"/>
        <v/>
      </c>
      <c r="AC17" s="1" t="str">
        <f t="shared" si="6"/>
        <v/>
      </c>
      <c r="AD17" s="1" t="str">
        <f t="shared" si="7"/>
        <v/>
      </c>
    </row>
    <row r="18" spans="1:30" x14ac:dyDescent="0.25">
      <c r="D18" t="str">
        <f t="shared" si="4"/>
        <v/>
      </c>
      <c r="F18" s="1" t="str">
        <f t="shared" si="5"/>
        <v/>
      </c>
      <c r="AC18" s="1" t="str">
        <f t="shared" si="6"/>
        <v/>
      </c>
      <c r="AD18" s="1" t="str">
        <f t="shared" si="7"/>
        <v/>
      </c>
    </row>
    <row r="19" spans="1:30" x14ac:dyDescent="0.25">
      <c r="A19" s="70"/>
      <c r="C19" s="70"/>
      <c r="D19" t="str">
        <f t="shared" si="4"/>
        <v/>
      </c>
      <c r="F19" s="1" t="str">
        <f t="shared" si="5"/>
        <v/>
      </c>
      <c r="AC19" s="1" t="str">
        <f t="shared" si="6"/>
        <v/>
      </c>
      <c r="AD19" s="1" t="str">
        <f t="shared" si="7"/>
        <v/>
      </c>
    </row>
    <row r="20" spans="1:30" x14ac:dyDescent="0.25">
      <c r="A20" s="70"/>
      <c r="C20" s="70"/>
      <c r="D20" t="str">
        <f t="shared" si="4"/>
        <v/>
      </c>
      <c r="F20" s="1" t="str">
        <f t="shared" si="5"/>
        <v/>
      </c>
      <c r="AC20" s="1" t="str">
        <f t="shared" si="6"/>
        <v/>
      </c>
      <c r="AD20" s="1" t="str">
        <f t="shared" si="7"/>
        <v/>
      </c>
    </row>
    <row r="21" spans="1:30" x14ac:dyDescent="0.25">
      <c r="A21" s="70"/>
      <c r="C21" s="70"/>
      <c r="D21" t="str">
        <f t="shared" si="4"/>
        <v/>
      </c>
      <c r="F21" s="1" t="str">
        <f t="shared" si="5"/>
        <v/>
      </c>
      <c r="AC21" s="1" t="str">
        <f t="shared" si="6"/>
        <v/>
      </c>
      <c r="AD21" s="1" t="str">
        <f t="shared" si="7"/>
        <v/>
      </c>
    </row>
    <row r="22" spans="1:30" x14ac:dyDescent="0.25">
      <c r="A22" s="70"/>
      <c r="C22" s="70"/>
      <c r="D22" t="str">
        <f t="shared" si="4"/>
        <v/>
      </c>
      <c r="F22" s="1" t="str">
        <f t="shared" si="5"/>
        <v/>
      </c>
      <c r="AC22" s="1" t="str">
        <f t="shared" si="6"/>
        <v/>
      </c>
      <c r="AD22" s="1" t="str">
        <f t="shared" si="7"/>
        <v/>
      </c>
    </row>
    <row r="23" spans="1:30" x14ac:dyDescent="0.25">
      <c r="A23" s="70"/>
      <c r="C23" s="70"/>
      <c r="D23" t="str">
        <f t="shared" si="4"/>
        <v/>
      </c>
      <c r="F23" s="1" t="str">
        <f t="shared" si="5"/>
        <v/>
      </c>
      <c r="AC23" s="1" t="str">
        <f t="shared" si="6"/>
        <v/>
      </c>
      <c r="AD23" s="1" t="str">
        <f t="shared" si="7"/>
        <v/>
      </c>
    </row>
    <row r="24" spans="1:30" x14ac:dyDescent="0.25">
      <c r="A24" s="70"/>
      <c r="C24" s="70"/>
      <c r="D24" t="str">
        <f t="shared" si="4"/>
        <v/>
      </c>
      <c r="F24" s="1" t="str">
        <f t="shared" si="5"/>
        <v/>
      </c>
      <c r="AC24" s="1" t="str">
        <f t="shared" si="6"/>
        <v/>
      </c>
      <c r="AD24" s="1" t="str">
        <f t="shared" si="7"/>
        <v/>
      </c>
    </row>
    <row r="25" spans="1:30" x14ac:dyDescent="0.25">
      <c r="A25" s="70"/>
      <c r="C25" s="70"/>
      <c r="D25" t="str">
        <f t="shared" si="4"/>
        <v/>
      </c>
      <c r="F25" s="1" t="str">
        <f t="shared" si="5"/>
        <v/>
      </c>
      <c r="AC25" s="1" t="str">
        <f t="shared" si="6"/>
        <v/>
      </c>
      <c r="AD25" s="1" t="str">
        <f t="shared" si="7"/>
        <v/>
      </c>
    </row>
    <row r="26" spans="1:30" x14ac:dyDescent="0.25">
      <c r="A26" s="70"/>
      <c r="C26" s="70"/>
      <c r="D26" t="str">
        <f t="shared" si="4"/>
        <v/>
      </c>
      <c r="F26" s="1" t="str">
        <f t="shared" si="5"/>
        <v/>
      </c>
      <c r="AC26" s="1" t="str">
        <f t="shared" si="6"/>
        <v/>
      </c>
      <c r="AD26" s="1" t="str">
        <f t="shared" si="7"/>
        <v/>
      </c>
    </row>
    <row r="27" spans="1:30" x14ac:dyDescent="0.25">
      <c r="A27" s="70"/>
      <c r="C27" s="70"/>
      <c r="D27" t="str">
        <f t="shared" si="4"/>
        <v/>
      </c>
      <c r="F27" s="1" t="str">
        <f t="shared" si="5"/>
        <v/>
      </c>
      <c r="AC27" s="1" t="str">
        <f t="shared" si="6"/>
        <v/>
      </c>
      <c r="AD27" s="1" t="str">
        <f t="shared" si="7"/>
        <v/>
      </c>
    </row>
    <row r="28" spans="1:30" x14ac:dyDescent="0.25">
      <c r="A28" s="70"/>
      <c r="C28" s="70"/>
      <c r="D28" t="str">
        <f t="shared" si="4"/>
        <v/>
      </c>
      <c r="F28" s="1" t="str">
        <f t="shared" si="5"/>
        <v/>
      </c>
      <c r="AC28" s="1" t="str">
        <f t="shared" si="6"/>
        <v/>
      </c>
      <c r="AD28" s="1" t="str">
        <f t="shared" si="7"/>
        <v/>
      </c>
    </row>
    <row r="29" spans="1:30" x14ac:dyDescent="0.25">
      <c r="A29" s="70"/>
      <c r="C29" s="70"/>
      <c r="D29" t="str">
        <f t="shared" si="4"/>
        <v/>
      </c>
      <c r="F29" s="1" t="str">
        <f t="shared" si="5"/>
        <v/>
      </c>
      <c r="AC29" s="1" t="str">
        <f t="shared" si="6"/>
        <v/>
      </c>
      <c r="AD29" s="1" t="str">
        <f t="shared" si="7"/>
        <v/>
      </c>
    </row>
    <row r="30" spans="1:30" x14ac:dyDescent="0.25">
      <c r="A30" s="70"/>
      <c r="C30" s="70"/>
      <c r="D30" t="str">
        <f t="shared" si="4"/>
        <v/>
      </c>
      <c r="F30" s="1" t="str">
        <f t="shared" si="5"/>
        <v/>
      </c>
      <c r="AC30" s="1" t="str">
        <f t="shared" si="6"/>
        <v/>
      </c>
      <c r="AD30" s="1" t="str">
        <f t="shared" si="7"/>
        <v/>
      </c>
    </row>
    <row r="31" spans="1:30" x14ac:dyDescent="0.25">
      <c r="A31" s="70"/>
      <c r="C31" s="70"/>
      <c r="D31" t="str">
        <f t="shared" si="4"/>
        <v/>
      </c>
      <c r="F31" s="1" t="str">
        <f t="shared" si="5"/>
        <v/>
      </c>
      <c r="AC31" s="1" t="str">
        <f t="shared" si="6"/>
        <v/>
      </c>
      <c r="AD31" s="1" t="str">
        <f t="shared" si="7"/>
        <v/>
      </c>
    </row>
    <row r="32" spans="1:30" x14ac:dyDescent="0.25">
      <c r="A32" s="70"/>
      <c r="C32" s="70"/>
      <c r="D32" t="str">
        <f t="shared" si="4"/>
        <v/>
      </c>
      <c r="F32" s="1" t="str">
        <f t="shared" si="5"/>
        <v/>
      </c>
      <c r="AC32" s="1" t="str">
        <f t="shared" si="6"/>
        <v/>
      </c>
      <c r="AD32" s="1" t="str">
        <f t="shared" si="7"/>
        <v/>
      </c>
    </row>
    <row r="33" spans="1:30" x14ac:dyDescent="0.25">
      <c r="A33" s="70"/>
      <c r="C33" s="70"/>
      <c r="D33" t="str">
        <f t="shared" si="4"/>
        <v/>
      </c>
      <c r="F33" s="1" t="str">
        <f t="shared" si="5"/>
        <v/>
      </c>
      <c r="AC33" s="1" t="str">
        <f t="shared" si="6"/>
        <v/>
      </c>
      <c r="AD33" s="1" t="str">
        <f t="shared" si="7"/>
        <v/>
      </c>
    </row>
    <row r="34" spans="1:30" x14ac:dyDescent="0.25">
      <c r="A34" s="70"/>
      <c r="C34" s="70"/>
      <c r="D34" t="str">
        <f t="shared" si="4"/>
        <v/>
      </c>
      <c r="F34" s="1" t="str">
        <f t="shared" si="5"/>
        <v/>
      </c>
      <c r="AC34" s="1" t="str">
        <f t="shared" si="6"/>
        <v/>
      </c>
      <c r="AD34" s="1" t="str">
        <f t="shared" si="7"/>
        <v/>
      </c>
    </row>
    <row r="35" spans="1:30" x14ac:dyDescent="0.25">
      <c r="A35" s="70"/>
      <c r="C35" s="70"/>
      <c r="D35" t="str">
        <f t="shared" si="4"/>
        <v/>
      </c>
      <c r="F35" s="1" t="str">
        <f t="shared" si="5"/>
        <v/>
      </c>
      <c r="AC35" s="1" t="str">
        <f t="shared" si="6"/>
        <v/>
      </c>
      <c r="AD35" s="1" t="str">
        <f t="shared" si="7"/>
        <v/>
      </c>
    </row>
    <row r="36" spans="1:30" x14ac:dyDescent="0.25">
      <c r="A36" s="70"/>
      <c r="C36" s="70"/>
      <c r="D36" t="str">
        <f t="shared" si="4"/>
        <v/>
      </c>
      <c r="F36" s="1" t="str">
        <f t="shared" si="5"/>
        <v/>
      </c>
      <c r="AC36" s="1" t="str">
        <f t="shared" si="6"/>
        <v/>
      </c>
      <c r="AD36" s="1" t="str">
        <f t="shared" si="7"/>
        <v/>
      </c>
    </row>
    <row r="37" spans="1:30" x14ac:dyDescent="0.25">
      <c r="A37" s="70"/>
      <c r="C37" s="70"/>
      <c r="D37" t="str">
        <f t="shared" si="4"/>
        <v/>
      </c>
      <c r="F37" s="1" t="str">
        <f t="shared" si="5"/>
        <v/>
      </c>
      <c r="AC37" s="1" t="str">
        <f t="shared" si="6"/>
        <v/>
      </c>
      <c r="AD37" s="1" t="str">
        <f t="shared" si="7"/>
        <v/>
      </c>
    </row>
    <row r="38" spans="1:30" x14ac:dyDescent="0.25">
      <c r="A38" s="70"/>
      <c r="C38" s="70"/>
      <c r="D38" t="str">
        <f t="shared" si="4"/>
        <v/>
      </c>
      <c r="F38" s="1" t="str">
        <f t="shared" si="5"/>
        <v/>
      </c>
      <c r="AC38" s="1" t="str">
        <f t="shared" si="6"/>
        <v/>
      </c>
      <c r="AD38" s="1" t="str">
        <f t="shared" si="7"/>
        <v/>
      </c>
    </row>
    <row r="39" spans="1:30" x14ac:dyDescent="0.25">
      <c r="A39" s="70"/>
      <c r="C39" s="70"/>
      <c r="D39" t="str">
        <f t="shared" si="4"/>
        <v/>
      </c>
      <c r="F39" s="1" t="str">
        <f t="shared" si="5"/>
        <v/>
      </c>
      <c r="AC39" s="1" t="str">
        <f t="shared" si="6"/>
        <v/>
      </c>
      <c r="AD39" s="1" t="str">
        <f t="shared" si="7"/>
        <v/>
      </c>
    </row>
    <row r="40" spans="1:30" x14ac:dyDescent="0.25">
      <c r="A40" s="70"/>
      <c r="C40" s="70"/>
      <c r="D40" t="str">
        <f t="shared" si="4"/>
        <v/>
      </c>
      <c r="F40" s="1" t="str">
        <f t="shared" si="5"/>
        <v/>
      </c>
      <c r="AC40" s="1" t="str">
        <f t="shared" si="6"/>
        <v/>
      </c>
      <c r="AD40" s="1" t="str">
        <f t="shared" si="7"/>
        <v/>
      </c>
    </row>
    <row r="41" spans="1:30" x14ac:dyDescent="0.25">
      <c r="A41" s="70"/>
      <c r="C41" s="70"/>
      <c r="D41" t="str">
        <f t="shared" si="4"/>
        <v/>
      </c>
      <c r="F41" s="1" t="str">
        <f t="shared" si="5"/>
        <v/>
      </c>
      <c r="AC41" s="1" t="str">
        <f t="shared" si="6"/>
        <v/>
      </c>
      <c r="AD41" s="1" t="str">
        <f t="shared" si="7"/>
        <v/>
      </c>
    </row>
    <row r="42" spans="1:30" x14ac:dyDescent="0.25">
      <c r="A42" s="70"/>
      <c r="C42" s="70"/>
      <c r="D42" t="str">
        <f t="shared" si="4"/>
        <v/>
      </c>
      <c r="F42" s="1" t="str">
        <f t="shared" si="5"/>
        <v/>
      </c>
      <c r="AC42" s="1" t="str">
        <f t="shared" si="6"/>
        <v/>
      </c>
      <c r="AD42" s="1" t="str">
        <f t="shared" si="7"/>
        <v/>
      </c>
    </row>
    <row r="43" spans="1:30" x14ac:dyDescent="0.25">
      <c r="A43" s="70"/>
      <c r="C43" s="70"/>
      <c r="D43" t="str">
        <f t="shared" si="4"/>
        <v/>
      </c>
      <c r="F43" s="1" t="str">
        <f t="shared" si="5"/>
        <v/>
      </c>
      <c r="AC43" s="1" t="str">
        <f t="shared" si="6"/>
        <v/>
      </c>
      <c r="AD43" s="1" t="str">
        <f t="shared" si="7"/>
        <v/>
      </c>
    </row>
    <row r="44" spans="1:30" x14ac:dyDescent="0.25">
      <c r="A44" s="70"/>
      <c r="C44" s="70"/>
      <c r="D44" t="str">
        <f t="shared" si="4"/>
        <v/>
      </c>
      <c r="F44" s="1" t="str">
        <f t="shared" si="5"/>
        <v/>
      </c>
      <c r="AC44" s="1" t="str">
        <f t="shared" si="6"/>
        <v/>
      </c>
      <c r="AD44" s="1" t="str">
        <f t="shared" si="7"/>
        <v/>
      </c>
    </row>
    <row r="45" spans="1:30" x14ac:dyDescent="0.25">
      <c r="A45" s="70"/>
      <c r="C45" s="70"/>
      <c r="D45" t="str">
        <f t="shared" si="4"/>
        <v/>
      </c>
      <c r="F45" s="1" t="str">
        <f t="shared" si="5"/>
        <v/>
      </c>
      <c r="AC45" s="1" t="str">
        <f t="shared" si="6"/>
        <v/>
      </c>
      <c r="AD45" s="1" t="str">
        <f t="shared" si="7"/>
        <v/>
      </c>
    </row>
    <row r="46" spans="1:30" x14ac:dyDescent="0.25">
      <c r="A46" s="70"/>
      <c r="C46" s="70"/>
      <c r="D46" t="str">
        <f t="shared" si="4"/>
        <v/>
      </c>
      <c r="F46" s="1" t="str">
        <f t="shared" si="5"/>
        <v/>
      </c>
      <c r="AC46" s="1" t="str">
        <f t="shared" si="6"/>
        <v/>
      </c>
      <c r="AD46" s="1" t="str">
        <f t="shared" si="7"/>
        <v/>
      </c>
    </row>
    <row r="47" spans="1:30" x14ac:dyDescent="0.25">
      <c r="A47" s="70"/>
      <c r="C47" s="70"/>
      <c r="D47" t="str">
        <f t="shared" si="4"/>
        <v/>
      </c>
      <c r="F47" s="1" t="str">
        <f t="shared" si="5"/>
        <v/>
      </c>
      <c r="AC47" s="1" t="str">
        <f t="shared" si="6"/>
        <v/>
      </c>
      <c r="AD47" s="1" t="str">
        <f t="shared" si="7"/>
        <v/>
      </c>
    </row>
    <row r="48" spans="1:30" x14ac:dyDescent="0.25">
      <c r="A48" s="70"/>
      <c r="C48" s="70"/>
      <c r="D48" t="str">
        <f t="shared" si="4"/>
        <v/>
      </c>
      <c r="F48" s="1" t="str">
        <f t="shared" si="5"/>
        <v/>
      </c>
      <c r="AC48" s="1" t="str">
        <f t="shared" si="6"/>
        <v/>
      </c>
      <c r="AD48" s="1" t="str">
        <f t="shared" si="7"/>
        <v/>
      </c>
    </row>
    <row r="49" spans="1:30" x14ac:dyDescent="0.25">
      <c r="A49" s="70"/>
      <c r="C49" s="70"/>
      <c r="D49" t="str">
        <f t="shared" si="4"/>
        <v/>
      </c>
      <c r="F49" s="1" t="str">
        <f t="shared" si="5"/>
        <v/>
      </c>
      <c r="AC49" s="1" t="str">
        <f t="shared" si="6"/>
        <v/>
      </c>
      <c r="AD49" s="1" t="str">
        <f t="shared" si="7"/>
        <v/>
      </c>
    </row>
    <row r="50" spans="1:30" x14ac:dyDescent="0.25">
      <c r="A50" s="70"/>
      <c r="C50" s="70"/>
      <c r="D50" t="str">
        <f t="shared" si="4"/>
        <v/>
      </c>
      <c r="F50" s="1" t="str">
        <f t="shared" si="5"/>
        <v/>
      </c>
      <c r="AC50" s="1" t="str">
        <f t="shared" si="6"/>
        <v/>
      </c>
      <c r="AD50" s="1" t="str">
        <f t="shared" si="7"/>
        <v/>
      </c>
    </row>
    <row r="51" spans="1:30" x14ac:dyDescent="0.25">
      <c r="A51" s="70"/>
      <c r="C51" s="70"/>
      <c r="D51" t="str">
        <f t="shared" si="4"/>
        <v/>
      </c>
      <c r="F51" s="1" t="str">
        <f t="shared" si="5"/>
        <v/>
      </c>
      <c r="AC51" s="1" t="str">
        <f t="shared" si="6"/>
        <v/>
      </c>
      <c r="AD51" s="1" t="str">
        <f t="shared" si="7"/>
        <v/>
      </c>
    </row>
    <row r="52" spans="1:30" x14ac:dyDescent="0.25">
      <c r="A52" s="70"/>
      <c r="C52" s="70"/>
      <c r="D52" t="str">
        <f t="shared" si="4"/>
        <v/>
      </c>
      <c r="F52" s="1" t="str">
        <f t="shared" si="5"/>
        <v/>
      </c>
      <c r="AC52" s="1" t="str">
        <f t="shared" si="6"/>
        <v/>
      </c>
      <c r="AD52" s="1" t="str">
        <f t="shared" si="7"/>
        <v/>
      </c>
    </row>
    <row r="53" spans="1:30" x14ac:dyDescent="0.25">
      <c r="A53" s="70"/>
      <c r="C53" s="70"/>
      <c r="D53" t="str">
        <f t="shared" si="4"/>
        <v/>
      </c>
      <c r="F53" s="1" t="str">
        <f t="shared" si="5"/>
        <v/>
      </c>
      <c r="AC53" s="1" t="str">
        <f t="shared" si="6"/>
        <v/>
      </c>
      <c r="AD53" s="1" t="str">
        <f t="shared" si="7"/>
        <v/>
      </c>
    </row>
    <row r="54" spans="1:30" x14ac:dyDescent="0.25">
      <c r="A54" s="70"/>
      <c r="C54" s="70"/>
      <c r="D54" t="str">
        <f t="shared" si="4"/>
        <v/>
      </c>
      <c r="F54" s="1" t="str">
        <f t="shared" si="5"/>
        <v/>
      </c>
      <c r="AC54" s="1" t="str">
        <f t="shared" si="6"/>
        <v/>
      </c>
      <c r="AD54" s="1" t="str">
        <f t="shared" si="7"/>
        <v/>
      </c>
    </row>
    <row r="55" spans="1:30" x14ac:dyDescent="0.25">
      <c r="A55" s="70"/>
      <c r="C55" s="70"/>
      <c r="D55" t="str">
        <f t="shared" si="4"/>
        <v/>
      </c>
      <c r="F55" s="1" t="str">
        <f t="shared" si="5"/>
        <v/>
      </c>
      <c r="AC55" s="1" t="str">
        <f t="shared" si="6"/>
        <v/>
      </c>
      <c r="AD55" s="1" t="str">
        <f t="shared" si="7"/>
        <v/>
      </c>
    </row>
    <row r="56" spans="1:30" x14ac:dyDescent="0.25">
      <c r="A56" s="70"/>
      <c r="C56" s="70"/>
      <c r="D56" t="str">
        <f t="shared" si="4"/>
        <v/>
      </c>
      <c r="F56" s="1" t="str">
        <f t="shared" si="5"/>
        <v/>
      </c>
      <c r="AC56" s="1" t="str">
        <f t="shared" si="6"/>
        <v/>
      </c>
      <c r="AD56" s="1" t="str">
        <f t="shared" si="7"/>
        <v/>
      </c>
    </row>
    <row r="57" spans="1:30" x14ac:dyDescent="0.25">
      <c r="A57" s="70"/>
      <c r="C57" s="70"/>
      <c r="D57" t="str">
        <f t="shared" si="4"/>
        <v/>
      </c>
      <c r="F57" s="1" t="str">
        <f t="shared" si="5"/>
        <v/>
      </c>
      <c r="AC57" s="1" t="str">
        <f t="shared" si="6"/>
        <v/>
      </c>
      <c r="AD57" s="1" t="str">
        <f t="shared" si="7"/>
        <v/>
      </c>
    </row>
    <row r="58" spans="1:30" x14ac:dyDescent="0.25">
      <c r="A58" s="70"/>
      <c r="C58" s="70"/>
      <c r="D58" t="str">
        <f t="shared" si="4"/>
        <v/>
      </c>
      <c r="F58" s="1" t="str">
        <f t="shared" si="5"/>
        <v/>
      </c>
      <c r="G58" s="1" t="str">
        <f t="shared" ref="G58:AB58" si="8">IF(OR(G$14="",$E58=""),"",F58)</f>
        <v/>
      </c>
      <c r="H58" s="1" t="str">
        <f t="shared" si="8"/>
        <v/>
      </c>
      <c r="I58" s="1" t="str">
        <f t="shared" si="8"/>
        <v/>
      </c>
      <c r="J58" s="1" t="str">
        <f t="shared" si="8"/>
        <v/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 t="str">
        <f t="shared" si="8"/>
        <v/>
      </c>
      <c r="T58" s="1" t="str">
        <f t="shared" si="8"/>
        <v/>
      </c>
      <c r="U58" s="1" t="str">
        <f t="shared" si="8"/>
        <v/>
      </c>
      <c r="V58" s="1" t="str">
        <f t="shared" si="8"/>
        <v/>
      </c>
      <c r="W58" s="1" t="str">
        <f t="shared" si="8"/>
        <v/>
      </c>
      <c r="X58" s="1" t="str">
        <f t="shared" si="8"/>
        <v/>
      </c>
      <c r="Y58" s="1" t="str">
        <f t="shared" si="8"/>
        <v/>
      </c>
      <c r="Z58" s="1" t="str">
        <f t="shared" si="8"/>
        <v/>
      </c>
      <c r="AA58" s="1" t="str">
        <f t="shared" si="8"/>
        <v/>
      </c>
      <c r="AB58" s="1" t="str">
        <f t="shared" si="8"/>
        <v/>
      </c>
      <c r="AC58" s="1" t="str">
        <f t="shared" si="6"/>
        <v/>
      </c>
      <c r="AD58" s="1" t="str">
        <f t="shared" si="7"/>
        <v/>
      </c>
    </row>
    <row r="59" spans="1:30" x14ac:dyDescent="0.25">
      <c r="D59" t="str">
        <f t="shared" si="4"/>
        <v/>
      </c>
      <c r="F59" s="1" t="str">
        <f t="shared" si="5"/>
        <v/>
      </c>
      <c r="G59" s="1" t="str">
        <f t="shared" ref="G59:AB59" si="9">IF(OR(G$14="",$E59=""),"",F59)</f>
        <v/>
      </c>
      <c r="H59" s="1" t="str">
        <f t="shared" si="9"/>
        <v/>
      </c>
      <c r="I59" s="1" t="str">
        <f t="shared" si="9"/>
        <v/>
      </c>
      <c r="J59" s="1" t="str">
        <f t="shared" si="9"/>
        <v/>
      </c>
      <c r="K59" s="1" t="str">
        <f t="shared" si="9"/>
        <v/>
      </c>
      <c r="L59" s="1" t="str">
        <f t="shared" si="9"/>
        <v/>
      </c>
      <c r="M59" s="1" t="str">
        <f t="shared" si="9"/>
        <v/>
      </c>
      <c r="N59" s="1" t="str">
        <f t="shared" si="9"/>
        <v/>
      </c>
      <c r="O59" s="1" t="str">
        <f t="shared" si="9"/>
        <v/>
      </c>
      <c r="P59" s="1" t="str">
        <f t="shared" si="9"/>
        <v/>
      </c>
      <c r="Q59" s="1" t="str">
        <f t="shared" si="9"/>
        <v/>
      </c>
      <c r="R59" s="1" t="str">
        <f t="shared" si="9"/>
        <v/>
      </c>
      <c r="S59" s="1" t="str">
        <f t="shared" si="9"/>
        <v/>
      </c>
      <c r="T59" s="1" t="str">
        <f t="shared" si="9"/>
        <v/>
      </c>
      <c r="U59" s="1" t="str">
        <f t="shared" si="9"/>
        <v/>
      </c>
      <c r="V59" s="1" t="str">
        <f t="shared" si="9"/>
        <v/>
      </c>
      <c r="W59" s="1" t="str">
        <f t="shared" si="9"/>
        <v/>
      </c>
      <c r="X59" s="1" t="str">
        <f t="shared" si="9"/>
        <v/>
      </c>
      <c r="Y59" s="1" t="str">
        <f t="shared" si="9"/>
        <v/>
      </c>
      <c r="Z59" s="1" t="str">
        <f t="shared" si="9"/>
        <v/>
      </c>
      <c r="AA59" s="1" t="str">
        <f t="shared" si="9"/>
        <v/>
      </c>
      <c r="AB59" s="1" t="str">
        <f t="shared" si="9"/>
        <v/>
      </c>
      <c r="AC59" s="1" t="str">
        <f t="shared" si="6"/>
        <v/>
      </c>
      <c r="AD59" s="1" t="str">
        <f t="shared" si="7"/>
        <v/>
      </c>
    </row>
    <row r="64" spans="1:30" x14ac:dyDescent="0.25">
      <c r="D64" t="str">
        <f>IF(A64&lt;&gt;"","Planned","")</f>
        <v/>
      </c>
    </row>
  </sheetData>
  <sheetProtection selectLockedCells="1" selectUnlockedCells="1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qref="D3:D8 D15:D64" xr:uid="{00000000-0002-0000-0400-000000000000}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workbookViewId="0"/>
  </sheetViews>
  <sheetFormatPr defaultColWidth="9.109375" defaultRowHeight="13.2" x14ac:dyDescent="0.25"/>
  <cols>
    <col min="1" max="3" width="9.109375" style="43" customWidth="1"/>
    <col min="4" max="4" width="32.6640625" style="43" customWidth="1"/>
    <col min="5" max="5" width="9.109375" style="43" customWidth="1"/>
    <col min="6" max="6" width="32.6640625" style="43" customWidth="1"/>
    <col min="7" max="16384" width="9.109375" style="43"/>
  </cols>
  <sheetData>
    <row r="1" spans="1:6" x14ac:dyDescent="0.25">
      <c r="A1" s="80" t="s">
        <v>108</v>
      </c>
      <c r="B1" s="81">
        <v>1</v>
      </c>
      <c r="C1" s="82" t="s">
        <v>109</v>
      </c>
      <c r="D1" s="83" t="s">
        <v>110</v>
      </c>
      <c r="E1" s="83"/>
      <c r="F1" s="84"/>
    </row>
    <row r="2" spans="1:6" x14ac:dyDescent="0.25">
      <c r="A2" s="85" t="s">
        <v>111</v>
      </c>
      <c r="B2" s="86" t="s">
        <v>104</v>
      </c>
      <c r="C2" s="86"/>
      <c r="D2" s="86"/>
      <c r="E2" s="86"/>
      <c r="F2" s="87"/>
    </row>
    <row r="3" spans="1:6" x14ac:dyDescent="0.25">
      <c r="A3" s="88"/>
      <c r="B3" s="89"/>
      <c r="C3" s="89"/>
      <c r="D3" s="89"/>
      <c r="E3" s="89"/>
      <c r="F3" s="90"/>
    </row>
    <row r="4" spans="1:6" x14ac:dyDescent="0.25">
      <c r="A4" s="91"/>
      <c r="B4" s="92"/>
      <c r="C4" s="92"/>
      <c r="D4" s="92"/>
      <c r="E4" s="92"/>
      <c r="F4" s="93"/>
    </row>
    <row r="5" spans="1:6" x14ac:dyDescent="0.25">
      <c r="A5" s="94" t="str">
        <f>CONCATENATE("Responsible Person: ",'Sp1'!C15)</f>
        <v>Responsible Person: Hugo Baird</v>
      </c>
      <c r="B5" s="95"/>
      <c r="C5" s="95"/>
      <c r="D5" s="95"/>
      <c r="E5" s="95"/>
      <c r="F5" s="96"/>
    </row>
    <row r="6" spans="1:6" ht="26.4" x14ac:dyDescent="0.25">
      <c r="A6" s="97" t="s">
        <v>112</v>
      </c>
      <c r="B6" s="98">
        <v>5</v>
      </c>
      <c r="C6" s="99" t="s">
        <v>113</v>
      </c>
      <c r="D6" s="100"/>
      <c r="E6" s="99" t="s">
        <v>114</v>
      </c>
      <c r="F6" s="101"/>
    </row>
    <row r="9" spans="1:6" x14ac:dyDescent="0.25">
      <c r="A9" s="80" t="s">
        <v>108</v>
      </c>
      <c r="B9" s="81">
        <v>1</v>
      </c>
      <c r="C9" s="82" t="s">
        <v>109</v>
      </c>
      <c r="D9" s="83" t="s">
        <v>110</v>
      </c>
      <c r="E9" s="83"/>
      <c r="F9" s="84"/>
    </row>
    <row r="10" spans="1:6" x14ac:dyDescent="0.25">
      <c r="A10" s="85" t="s">
        <v>111</v>
      </c>
      <c r="B10" s="86" t="s">
        <v>105</v>
      </c>
      <c r="C10" s="86"/>
      <c r="D10" s="86"/>
      <c r="E10" s="86"/>
      <c r="F10" s="87"/>
    </row>
    <row r="11" spans="1:6" x14ac:dyDescent="0.25">
      <c r="A11" s="88"/>
      <c r="B11" s="89"/>
      <c r="C11" s="89"/>
      <c r="D11" s="89"/>
      <c r="E11" s="89"/>
      <c r="F11" s="90"/>
    </row>
    <row r="12" spans="1:6" x14ac:dyDescent="0.25">
      <c r="A12" s="91"/>
      <c r="B12" s="92"/>
      <c r="C12" s="92"/>
      <c r="D12" s="92"/>
      <c r="E12" s="92"/>
      <c r="F12" s="93"/>
    </row>
    <row r="13" spans="1:6" x14ac:dyDescent="0.25">
      <c r="A13" s="94" t="str">
        <f>CONCATENATE("Responsible Person: ",'Sp1'!C16)</f>
        <v>Responsible Person: Julia McDowell and Carly Ryan</v>
      </c>
      <c r="B13" s="95"/>
      <c r="C13" s="95"/>
      <c r="D13" s="95"/>
      <c r="E13" s="95"/>
      <c r="F13" s="96"/>
    </row>
    <row r="14" spans="1:6" ht="26.4" x14ac:dyDescent="0.25">
      <c r="A14" s="97" t="s">
        <v>112</v>
      </c>
      <c r="B14" s="98">
        <v>7</v>
      </c>
      <c r="C14" s="99" t="s">
        <v>113</v>
      </c>
      <c r="D14" s="100"/>
      <c r="E14" s="99" t="s">
        <v>114</v>
      </c>
      <c r="F14" s="101"/>
    </row>
    <row r="17" spans="1:6" x14ac:dyDescent="0.25">
      <c r="A17" s="80" t="s">
        <v>108</v>
      </c>
      <c r="B17" s="81">
        <v>2</v>
      </c>
      <c r="C17" s="82" t="s">
        <v>109</v>
      </c>
      <c r="D17" s="83" t="s">
        <v>115</v>
      </c>
      <c r="E17" s="83"/>
      <c r="F17" s="84"/>
    </row>
    <row r="18" spans="1:6" x14ac:dyDescent="0.25">
      <c r="A18" s="85" t="s">
        <v>111</v>
      </c>
      <c r="B18" s="86" t="s">
        <v>106</v>
      </c>
      <c r="C18" s="86"/>
      <c r="D18" s="86"/>
      <c r="E18" s="86"/>
      <c r="F18" s="87"/>
    </row>
    <row r="19" spans="1:6" x14ac:dyDescent="0.25">
      <c r="A19" s="88"/>
      <c r="B19" s="89"/>
      <c r="C19" s="89"/>
      <c r="D19" s="89"/>
      <c r="E19" s="89"/>
      <c r="F19" s="90"/>
    </row>
    <row r="20" spans="1:6" x14ac:dyDescent="0.25">
      <c r="A20" s="91"/>
      <c r="B20" s="92"/>
      <c r="C20" s="92"/>
      <c r="D20" s="92"/>
      <c r="E20" s="92"/>
      <c r="F20" s="93"/>
    </row>
    <row r="21" spans="1:6" x14ac:dyDescent="0.25">
      <c r="A21" s="94" t="str">
        <f>CONCATENATE("Responsible Person: ",'Sp1'!C17)</f>
        <v>Responsible Person: Leon Hoogenraad</v>
      </c>
      <c r="B21" s="95"/>
      <c r="C21" s="95"/>
      <c r="D21" s="95"/>
      <c r="E21" s="95"/>
      <c r="F21" s="96"/>
    </row>
    <row r="22" spans="1:6" ht="26.4" x14ac:dyDescent="0.25">
      <c r="A22" s="97" t="s">
        <v>112</v>
      </c>
      <c r="B22" s="98">
        <v>12</v>
      </c>
      <c r="C22" s="99" t="s">
        <v>113</v>
      </c>
      <c r="D22" s="100"/>
      <c r="E22" s="99" t="s">
        <v>114</v>
      </c>
      <c r="F22" s="101"/>
    </row>
    <row r="25" spans="1:6" x14ac:dyDescent="0.25">
      <c r="A25" s="80" t="s">
        <v>108</v>
      </c>
      <c r="B25" s="81">
        <v>2</v>
      </c>
      <c r="C25" s="82" t="s">
        <v>109</v>
      </c>
      <c r="D25" s="83" t="s">
        <v>115</v>
      </c>
      <c r="E25" s="83"/>
      <c r="F25" s="84"/>
    </row>
    <row r="26" spans="1:6" x14ac:dyDescent="0.25">
      <c r="A26" s="85" t="s">
        <v>111</v>
      </c>
      <c r="B26" s="86" t="s">
        <v>107</v>
      </c>
      <c r="C26" s="86"/>
      <c r="D26" s="86"/>
      <c r="E26" s="86"/>
      <c r="F26" s="87"/>
    </row>
    <row r="27" spans="1:6" x14ac:dyDescent="0.25">
      <c r="A27" s="88"/>
      <c r="B27" s="89"/>
      <c r="C27" s="89"/>
      <c r="D27" s="89"/>
      <c r="E27" s="89"/>
      <c r="F27" s="90"/>
    </row>
    <row r="28" spans="1:6" x14ac:dyDescent="0.25">
      <c r="A28" s="91"/>
      <c r="B28" s="92"/>
      <c r="C28" s="92"/>
      <c r="D28" s="92"/>
      <c r="E28" s="92"/>
      <c r="F28" s="93"/>
    </row>
    <row r="29" spans="1:6" x14ac:dyDescent="0.25">
      <c r="A29" s="94" t="str">
        <f>CONCATENATE("Responsible Person: ",'Sp1'!C18)</f>
        <v>Responsible Person: Hugo Baird</v>
      </c>
      <c r="B29" s="95"/>
      <c r="C29" s="95"/>
      <c r="D29" s="95"/>
      <c r="E29" s="95"/>
      <c r="F29" s="96"/>
    </row>
    <row r="30" spans="1:6" ht="26.4" x14ac:dyDescent="0.25">
      <c r="A30" s="97" t="s">
        <v>112</v>
      </c>
      <c r="B30" s="98">
        <v>9</v>
      </c>
      <c r="C30" s="99" t="s">
        <v>113</v>
      </c>
      <c r="D30" s="100"/>
      <c r="E30" s="99" t="s">
        <v>114</v>
      </c>
      <c r="F30" s="101"/>
    </row>
  </sheetData>
  <sheetProtection selectLockedCells="1" selectUnlockedCells="1"/>
  <pageMargins left="0.19652777777777777" right="0.19652777777777777" top="0.19652777777777777" bottom="0.19652777777777777" header="0.51180555555555551" footer="0.51180555555555551"/>
  <pageSetup paperSize="9" firstPageNumber="0" fitToHeight="100"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EEF0CE1F6D7947AAF27832466D85D0" ma:contentTypeVersion="5" ma:contentTypeDescription="Create a new document." ma:contentTypeScope="" ma:versionID="c876f788b12ff5032a59d350f5800282">
  <xsd:schema xmlns:xsd="http://www.w3.org/2001/XMLSchema" xmlns:xs="http://www.w3.org/2001/XMLSchema" xmlns:p="http://schemas.microsoft.com/office/2006/metadata/properties" xmlns:ns3="e5135c5c-9f6b-4a36-a41f-4dac4f915ded" xmlns:ns4="3f8b82f8-140d-4113-9341-d342b19dbd49" targetNamespace="http://schemas.microsoft.com/office/2006/metadata/properties" ma:root="true" ma:fieldsID="2fa62efdc70a626d2fc5cd5dbcee12fb" ns3:_="" ns4:_="">
    <xsd:import namespace="e5135c5c-9f6b-4a36-a41f-4dac4f915ded"/>
    <xsd:import namespace="3f8b82f8-140d-4113-9341-d342b19dbd4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135c5c-9f6b-4a36-a41f-4dac4f915de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b82f8-140d-4113-9341-d342b19dbd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D28851-CCC6-4C17-B416-C55A3A971B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135c5c-9f6b-4a36-a41f-4dac4f915ded"/>
    <ds:schemaRef ds:uri="3f8b82f8-140d-4113-9341-d342b19dbd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9474DD-B2B7-400D-86F1-8B9FF8CF64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Release Plan</vt:lpstr>
      <vt:lpstr>Product Backlog</vt:lpstr>
      <vt:lpstr>PB Burndown</vt:lpstr>
      <vt:lpstr>Sp1</vt:lpstr>
      <vt:lpstr>Sp2</vt:lpstr>
      <vt:lpstr>Task Slips</vt:lpstr>
      <vt:lpstr>'Sp1'!DoneDays</vt:lpstr>
      <vt:lpstr>'Sp2'!DoneDays</vt:lpstr>
      <vt:lpstr>'Product Backlog'!Excel_BuiltIn_Print_Area</vt:lpstr>
      <vt:lpstr>'Sp1'!ImplementationDays</vt:lpstr>
      <vt:lpstr>'Sp2'!ImplementationDays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'Sp2'!TaskRows</vt:lpstr>
      <vt:lpstr>'Sp1'!TaskStatus</vt:lpstr>
      <vt:lpstr>TaskStatus</vt:lpstr>
      <vt:lpstr>'Sp1'!TaskStoryID</vt:lpstr>
      <vt:lpstr>TaskStoryID</vt:lpstr>
      <vt:lpstr>'Sp1'!TotalEffort</vt:lpstr>
      <vt:lpstr>'Sp2'!TotalEffort</vt:lpstr>
      <vt:lpstr>'Sp1'!TrendDays</vt:lpstr>
      <vt:lpstr>TrendDays</vt:lpstr>
      <vt:lpstr>TrendOffset</vt:lpstr>
      <vt:lpstr>TrendSprintCount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Hugo Baird</cp:lastModifiedBy>
  <cp:revision>4</cp:revision>
  <dcterms:created xsi:type="dcterms:W3CDTF">1998-06-05T11:20:44Z</dcterms:created>
  <dcterms:modified xsi:type="dcterms:W3CDTF">2020-04-01T21:07:51Z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0x010100ECEEF0CE1F6D7947AAF27832466D85D0</vt:lpwstr>
  </property>
</Properties>
</file>