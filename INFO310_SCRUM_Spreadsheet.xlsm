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D5D638F7-94BA-4755-B62D-872BB23D668B}" xr6:coauthVersionLast="45" xr6:coauthVersionMax="45" xr10:uidLastSave="{00000000-0000-0000-0000-000000000000}"/>
  <bookViews>
    <workbookView xWindow="-108" yWindow="-108" windowWidth="23256" windowHeight="12576" tabRatio="500" xr2:uid="{00000000-000D-0000-FFFF-FFFF00000000}"/>
  </bookViews>
  <sheets>
    <sheet name="Release Plan" sheetId="1" r:id="rId1"/>
    <sheet name="Product Backlog" sheetId="2" r:id="rId2"/>
    <sheet name="PB Burndown" sheetId="3" r:id="rId3"/>
    <sheet name="Sp1" sheetId="4" r:id="rId4"/>
    <sheet name="Sp2" sheetId="5" r:id="rId5"/>
    <sheet name="Sp3" sheetId="7" r:id="rId6"/>
    <sheet name="Task Slips" sheetId="6" r:id="rId7"/>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 localSheetId="5">'Sp3'!$D$11</definedName>
    <definedName name="DoneDays">#REF!</definedName>
    <definedName name="Excel_BuiltIn_Print_Area" localSheetId="1">'Product Backlog'!$A:$G</definedName>
    <definedName name="Excel_BuiltIn_Print_Area" localSheetId="6">'Task Slips'!#REF!</definedName>
    <definedName name="ImplementationDays" localSheetId="3">'Sp1'!$B$9</definedName>
    <definedName name="ImplementationDays" localSheetId="4">'Sp2'!$B$9</definedName>
    <definedName name="ImplementationDays" localSheetId="5">'Sp3'!$B$9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RealValues" localSheetId="5">OFFSET('Sp3'!$F$10,0,0,1,'Sp3'!DoneDays)</definedName>
    <definedName name="Sprint">'Product Backlog'!$E$5:$E$160</definedName>
    <definedName name="SprintCount">'PB Burndown'!$G$3</definedName>
    <definedName name="SprintsInTrend">'PB Burndown'!$G$6</definedName>
    <definedName name="SprintTasks" localSheetId="3">'Sp1'!$A$14:$AD$63</definedName>
    <definedName name="SprintTasks" localSheetId="5">'Sp3'!$A$14:$AD$63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 localSheetId="5">'Sp3'!$B$11</definedName>
    <definedName name="TaskRows">#REF!</definedName>
    <definedName name="TaskStatus" localSheetId="3">'Sp1'!$D$14:$D$58</definedName>
    <definedName name="TaskStatus" localSheetId="5">'Sp3'!$D$14:$D$57</definedName>
    <definedName name="TaskStatus">'Sp2'!$D$14:$D$57</definedName>
    <definedName name="TaskStoryID" localSheetId="3">'Sp1'!$B$14:$B$53</definedName>
    <definedName name="TaskStoryID" localSheetId="5">'Sp3'!$B$14:$B$52</definedName>
    <definedName name="TaskStoryID">'Sp2'!$B$14:$B$52</definedName>
    <definedName name="TotalEffort" localSheetId="3">'Sp1'!$E$10</definedName>
    <definedName name="TotalEffort" localSheetId="4">'Sp2'!$E$10</definedName>
    <definedName name="TotalEffort" localSheetId="5">'Sp3'!$E$10</definedName>
    <definedName name="TotalEffort">#REF!</definedName>
    <definedName name="TrendDays" localSheetId="3">'Sp1'!$D$13</definedName>
    <definedName name="TrendDays" localSheetId="5">'Sp3'!$D$13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63" i="7" l="1"/>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I14" i="7"/>
  <c r="J14" i="7" s="1"/>
  <c r="H14" i="7"/>
  <c r="H58" i="7" s="1"/>
  <c r="G14" i="7"/>
  <c r="G58" i="7" s="1"/>
  <c r="B11" i="7"/>
  <c r="X10" i="7" s="1"/>
  <c r="J58" i="7" l="1"/>
  <c r="J57" i="7"/>
  <c r="K14" i="7"/>
  <c r="K10" i="7"/>
  <c r="L10" i="7"/>
  <c r="AA10" i="7"/>
  <c r="E10" i="7"/>
  <c r="T10" i="7"/>
  <c r="AB10" i="7"/>
  <c r="G57" i="7"/>
  <c r="Z10" i="7"/>
  <c r="M10" i="7"/>
  <c r="F10" i="7"/>
  <c r="G10" i="7"/>
  <c r="U10" i="7"/>
  <c r="H57" i="7"/>
  <c r="Y10" i="7"/>
  <c r="H10" i="7"/>
  <c r="V10" i="7"/>
  <c r="I57" i="7"/>
  <c r="I58" i="7"/>
  <c r="I10" i="7"/>
  <c r="W10" i="7"/>
  <c r="J10" i="7"/>
  <c r="A29" i="6"/>
  <c r="A21" i="6"/>
  <c r="A13" i="6"/>
  <c r="A5" i="6"/>
  <c r="D63"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F20" i="5"/>
  <c r="F19" i="5"/>
  <c r="F18" i="5"/>
  <c r="F17" i="5"/>
  <c r="F16" i="5"/>
  <c r="F15" i="5"/>
  <c r="H14" i="5"/>
  <c r="I14" i="5" s="1"/>
  <c r="G14" i="5"/>
  <c r="G58" i="5" s="1"/>
  <c r="B11" i="5"/>
  <c r="T10" i="5" s="1"/>
  <c r="I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B34" i="3"/>
  <c r="I33" i="3"/>
  <c r="H33" i="3" s="1"/>
  <c r="E33" i="3"/>
  <c r="B33" i="3"/>
  <c r="F33" i="3" s="1"/>
  <c r="I32" i="3"/>
  <c r="H32" i="3" s="1"/>
  <c r="F32" i="3"/>
  <c r="I31" i="3"/>
  <c r="H31" i="3" s="1"/>
  <c r="F31" i="3"/>
  <c r="E31" i="3"/>
  <c r="H28" i="3"/>
  <c r="A18" i="3"/>
  <c r="G17" i="3"/>
  <c r="D17" i="3"/>
  <c r="D16" i="3"/>
  <c r="D15" i="3"/>
  <c r="A8" i="3"/>
  <c r="G4" i="3"/>
  <c r="D10" i="3" s="1"/>
  <c r="P41" i="3" s="1"/>
  <c r="E31" i="1"/>
  <c r="F23" i="1"/>
  <c r="F24" i="1" s="1"/>
  <c r="F25" i="1" s="1"/>
  <c r="F26" i="1" s="1"/>
  <c r="F27" i="1" s="1"/>
  <c r="F28" i="1" s="1"/>
  <c r="F29" i="1" s="1"/>
  <c r="F30" i="1" s="1"/>
  <c r="F22" i="1"/>
  <c r="D22" i="1"/>
  <c r="B22" i="1"/>
  <c r="A22" i="1" s="1"/>
  <c r="E22" i="1" s="1"/>
  <c r="F18" i="1"/>
  <c r="B17" i="1"/>
  <c r="B18" i="1" s="1"/>
  <c r="D18" i="1" s="1"/>
  <c r="D16" i="1"/>
  <c r="E10" i="1"/>
  <c r="C10" i="1"/>
  <c r="D10" i="1" s="1"/>
  <c r="E9" i="1"/>
  <c r="D9" i="1"/>
  <c r="C9" i="1"/>
  <c r="E8" i="1"/>
  <c r="D8" i="1"/>
  <c r="C8" i="1"/>
  <c r="E7" i="1"/>
  <c r="D7" i="1"/>
  <c r="C7" i="1"/>
  <c r="E6" i="1"/>
  <c r="C6" i="1"/>
  <c r="D6" i="1" s="1"/>
  <c r="E5" i="1"/>
  <c r="C5" i="1"/>
  <c r="B5" i="1"/>
  <c r="D5" i="1" s="1"/>
  <c r="E4" i="1"/>
  <c r="C4" i="1"/>
  <c r="B4" i="1"/>
  <c r="D4" i="1" s="1"/>
  <c r="D11" i="3" l="1"/>
  <c r="Q38" i="3" s="1"/>
  <c r="P35" i="3"/>
  <c r="P39" i="3"/>
  <c r="P42" i="3"/>
  <c r="F11" i="7"/>
  <c r="G11" i="7"/>
  <c r="I11" i="7"/>
  <c r="K57" i="7"/>
  <c r="K11" i="7"/>
  <c r="L14" i="7"/>
  <c r="K58" i="7"/>
  <c r="J11" i="7"/>
  <c r="P34" i="3"/>
  <c r="H11" i="7"/>
  <c r="H58" i="5"/>
  <c r="X10" i="5"/>
  <c r="W10" i="5"/>
  <c r="AB10" i="5"/>
  <c r="F10" i="5"/>
  <c r="J10" i="5"/>
  <c r="M10" i="5"/>
  <c r="G5" i="3"/>
  <c r="K33" i="3"/>
  <c r="G33" i="3"/>
  <c r="G32" i="3"/>
  <c r="K32" i="3"/>
  <c r="K31" i="3"/>
  <c r="E34" i="3"/>
  <c r="B35" i="3"/>
  <c r="I34" i="3"/>
  <c r="H34" i="3" s="1"/>
  <c r="F34" i="3"/>
  <c r="F28" i="3"/>
  <c r="P28" i="3"/>
  <c r="P30" i="3"/>
  <c r="P37" i="3"/>
  <c r="P49" i="3"/>
  <c r="P10" i="4"/>
  <c r="V10" i="4"/>
  <c r="N10" i="4"/>
  <c r="F10" i="4"/>
  <c r="AA10" i="4"/>
  <c r="S10" i="4"/>
  <c r="K10" i="4"/>
  <c r="Z10" i="4"/>
  <c r="R10" i="4"/>
  <c r="J10" i="4"/>
  <c r="D17" i="1"/>
  <c r="P36" i="3"/>
  <c r="H10" i="4"/>
  <c r="U10" i="4"/>
  <c r="H14" i="4"/>
  <c r="G63" i="4"/>
  <c r="G11" i="4"/>
  <c r="P29" i="3"/>
  <c r="G31" i="3"/>
  <c r="P31" i="3"/>
  <c r="P33" i="3"/>
  <c r="I10" i="4"/>
  <c r="W10" i="4"/>
  <c r="B23" i="1"/>
  <c r="P50" i="3"/>
  <c r="P51" i="3"/>
  <c r="P43" i="3"/>
  <c r="P46" i="3"/>
  <c r="P38" i="3"/>
  <c r="L10" i="4"/>
  <c r="X10" i="4"/>
  <c r="H11" i="5"/>
  <c r="F11" i="5"/>
  <c r="P32" i="3"/>
  <c r="P40" i="3"/>
  <c r="P44" i="3"/>
  <c r="P45" i="3"/>
  <c r="P47" i="3"/>
  <c r="P48" i="3"/>
  <c r="O10" i="4"/>
  <c r="AB10" i="4"/>
  <c r="I11" i="5"/>
  <c r="I58" i="5"/>
  <c r="I57" i="5"/>
  <c r="J14" i="5"/>
  <c r="K10" i="5"/>
  <c r="Y10" i="5"/>
  <c r="G57" i="5"/>
  <c r="L10" i="5"/>
  <c r="Z10" i="5"/>
  <c r="G11" i="5"/>
  <c r="H57" i="5"/>
  <c r="AA10" i="5"/>
  <c r="G10" i="5"/>
  <c r="U10" i="5"/>
  <c r="H10" i="5"/>
  <c r="V10" i="5"/>
  <c r="Q50" i="3" l="1"/>
  <c r="Q39" i="3"/>
  <c r="Q49" i="3"/>
  <c r="Q51" i="3"/>
  <c r="Q36" i="3"/>
  <c r="Q46" i="3"/>
  <c r="Q28" i="3"/>
  <c r="Q29" i="3"/>
  <c r="Q45" i="3"/>
  <c r="Q32" i="3"/>
  <c r="Q30" i="3"/>
  <c r="Q31" i="3"/>
  <c r="Q40" i="3"/>
  <c r="Q37" i="3"/>
  <c r="Q33" i="3"/>
  <c r="Q44" i="3"/>
  <c r="Q41" i="3"/>
  <c r="Q47" i="3"/>
  <c r="Q34" i="3"/>
  <c r="Q43" i="3"/>
  <c r="Q48" i="3"/>
  <c r="Q42" i="3"/>
  <c r="Q35" i="3"/>
  <c r="L11" i="7"/>
  <c r="M14" i="7"/>
  <c r="L57" i="7"/>
  <c r="L58" i="7"/>
  <c r="J58" i="5"/>
  <c r="J11" i="5"/>
  <c r="K14" i="5"/>
  <c r="J57" i="5"/>
  <c r="F35" i="3"/>
  <c r="E35" i="3"/>
  <c r="B36" i="3"/>
  <c r="I35" i="3"/>
  <c r="H35" i="3" s="1"/>
  <c r="A23" i="1"/>
  <c r="E23" i="1" s="1"/>
  <c r="B24" i="1"/>
  <c r="D23" i="1"/>
  <c r="F29" i="3"/>
  <c r="K28" i="3"/>
  <c r="G28" i="3"/>
  <c r="I29" i="3"/>
  <c r="H11" i="4"/>
  <c r="H62" i="4"/>
  <c r="I14" i="4"/>
  <c r="H63" i="4"/>
  <c r="G6" i="3"/>
  <c r="K34" i="3"/>
  <c r="G34" i="3"/>
  <c r="N42" i="3" l="1"/>
  <c r="N41" i="3"/>
  <c r="N47" i="3"/>
  <c r="N34" i="3"/>
  <c r="N33" i="3"/>
  <c r="N46" i="3"/>
  <c r="N28" i="3"/>
  <c r="N31" i="3"/>
  <c r="N40" i="3"/>
  <c r="N29" i="3"/>
  <c r="N44" i="3"/>
  <c r="N32" i="3"/>
  <c r="N36" i="3"/>
  <c r="N37" i="3"/>
  <c r="N45" i="3"/>
  <c r="N35" i="3"/>
  <c r="N39" i="3"/>
  <c r="N48" i="3"/>
  <c r="N43" i="3"/>
  <c r="N50" i="3"/>
  <c r="N30" i="3"/>
  <c r="N51" i="3"/>
  <c r="N38" i="3"/>
  <c r="N49" i="3"/>
  <c r="D8" i="3"/>
  <c r="M11" i="7"/>
  <c r="N14" i="7"/>
  <c r="M58" i="7"/>
  <c r="M57" i="7"/>
  <c r="B37" i="3"/>
  <c r="I36" i="3"/>
  <c r="H36" i="3" s="1"/>
  <c r="F36" i="3"/>
  <c r="E36" i="3"/>
  <c r="F30" i="3"/>
  <c r="H29" i="3"/>
  <c r="I30" i="3"/>
  <c r="H30" i="3" s="1"/>
  <c r="K29" i="3"/>
  <c r="G29" i="3"/>
  <c r="K35" i="3"/>
  <c r="G35" i="3"/>
  <c r="K58" i="5"/>
  <c r="K11" i="5"/>
  <c r="K57" i="5"/>
  <c r="L14" i="5"/>
  <c r="I62" i="4"/>
  <c r="J14" i="4"/>
  <c r="I11" i="4"/>
  <c r="I63" i="4"/>
  <c r="B25" i="1"/>
  <c r="D24" i="1"/>
  <c r="A24" i="1"/>
  <c r="E24" i="1" s="1"/>
  <c r="L35" i="3" l="1"/>
  <c r="L51" i="3"/>
  <c r="L50" i="3"/>
  <c r="L46" i="3"/>
  <c r="L44" i="3"/>
  <c r="L31" i="3"/>
  <c r="L48" i="3"/>
  <c r="L49" i="3"/>
  <c r="L45" i="3"/>
  <c r="L38" i="3"/>
  <c r="L34" i="3"/>
  <c r="L29" i="3"/>
  <c r="L33" i="3"/>
  <c r="L28" i="3"/>
  <c r="M28" i="3" s="1"/>
  <c r="L43" i="3"/>
  <c r="L36" i="3"/>
  <c r="L37" i="3"/>
  <c r="L41" i="3"/>
  <c r="L47" i="3"/>
  <c r="L32" i="3"/>
  <c r="L39" i="3"/>
  <c r="L40" i="3"/>
  <c r="L42" i="3"/>
  <c r="L30" i="3"/>
  <c r="O14" i="7"/>
  <c r="N58" i="7"/>
  <c r="N11" i="7"/>
  <c r="N57" i="7"/>
  <c r="G36" i="3"/>
  <c r="K36" i="3"/>
  <c r="F37" i="3"/>
  <c r="B38" i="3"/>
  <c r="I37" i="3"/>
  <c r="H37" i="3" s="1"/>
  <c r="E37" i="3"/>
  <c r="L11" i="5"/>
  <c r="L57" i="5"/>
  <c r="M14" i="5"/>
  <c r="L58" i="5"/>
  <c r="J63" i="4"/>
  <c r="J11" i="4"/>
  <c r="J62" i="4"/>
  <c r="K14" i="4"/>
  <c r="B26" i="1"/>
  <c r="D25" i="1"/>
  <c r="A25" i="1"/>
  <c r="E25" i="1" s="1"/>
  <c r="K30" i="3"/>
  <c r="G30" i="3"/>
  <c r="M36" i="3" l="1"/>
  <c r="M35" i="3"/>
  <c r="M51" i="3"/>
  <c r="M43" i="3"/>
  <c r="M34" i="3"/>
  <c r="M42" i="3"/>
  <c r="M48" i="3"/>
  <c r="M39" i="3"/>
  <c r="M46" i="3"/>
  <c r="M38" i="3"/>
  <c r="M47" i="3"/>
  <c r="M50" i="3"/>
  <c r="M44" i="3"/>
  <c r="M33" i="3"/>
  <c r="M45" i="3"/>
  <c r="M40" i="3"/>
  <c r="M32" i="3"/>
  <c r="M29" i="3"/>
  <c r="D12" i="3" s="1"/>
  <c r="M49" i="3"/>
  <c r="M41" i="3"/>
  <c r="M37" i="3"/>
  <c r="M31" i="3"/>
  <c r="M30" i="3"/>
  <c r="P14" i="7"/>
  <c r="O58" i="7"/>
  <c r="O57" i="7"/>
  <c r="O11" i="7"/>
  <c r="D26" i="1"/>
  <c r="A26" i="1"/>
  <c r="E26" i="1" s="1"/>
  <c r="B27" i="1"/>
  <c r="K37" i="3"/>
  <c r="G37" i="3"/>
  <c r="M57" i="5"/>
  <c r="M58" i="5"/>
  <c r="M11" i="5"/>
  <c r="N14" i="5"/>
  <c r="K63" i="4"/>
  <c r="K11" i="4"/>
  <c r="L14" i="4"/>
  <c r="K62" i="4"/>
  <c r="B39" i="3"/>
  <c r="I38" i="3"/>
  <c r="H38" i="3" s="1"/>
  <c r="F38" i="3"/>
  <c r="E38" i="3"/>
  <c r="G9" i="3" l="1"/>
  <c r="D22" i="3"/>
  <c r="Q14" i="7"/>
  <c r="P58" i="7"/>
  <c r="P57" i="7"/>
  <c r="P11" i="7"/>
  <c r="D27" i="1"/>
  <c r="A27" i="1"/>
  <c r="E27" i="1" s="1"/>
  <c r="B28" i="1"/>
  <c r="B40" i="3"/>
  <c r="I39" i="3"/>
  <c r="H39" i="3" s="1"/>
  <c r="F39" i="3"/>
  <c r="E39" i="3"/>
  <c r="L62" i="4"/>
  <c r="M14" i="4"/>
  <c r="L63" i="4"/>
  <c r="L11" i="4"/>
  <c r="O14" i="5"/>
  <c r="N58" i="5"/>
  <c r="N11" i="5"/>
  <c r="N57" i="5"/>
  <c r="G38" i="3"/>
  <c r="K38" i="3"/>
  <c r="G3" i="3"/>
  <c r="G19" i="3" l="1"/>
  <c r="G20" i="3"/>
  <c r="D9" i="3"/>
  <c r="D20" i="3"/>
  <c r="D21" i="3"/>
  <c r="D18" i="3"/>
  <c r="R14" i="7"/>
  <c r="Q58" i="7"/>
  <c r="Q57" i="7"/>
  <c r="Q11" i="7"/>
  <c r="K39" i="3"/>
  <c r="G39" i="3"/>
  <c r="D28" i="1"/>
  <c r="A28" i="1"/>
  <c r="E28" i="1" s="1"/>
  <c r="B29" i="1"/>
  <c r="P14" i="5"/>
  <c r="O58" i="5"/>
  <c r="O11" i="5"/>
  <c r="O57" i="5"/>
  <c r="E40" i="3"/>
  <c r="B41" i="3"/>
  <c r="I40" i="3"/>
  <c r="H40" i="3" s="1"/>
  <c r="F40" i="3"/>
  <c r="M62" i="4"/>
  <c r="N14" i="4"/>
  <c r="M11" i="4"/>
  <c r="M63" i="4"/>
  <c r="O42" i="3" l="1"/>
  <c r="O40" i="3"/>
  <c r="O48" i="3"/>
  <c r="O46" i="3"/>
  <c r="D24" i="3"/>
  <c r="D23" i="3"/>
  <c r="O37" i="3"/>
  <c r="O44" i="3"/>
  <c r="O34" i="3"/>
  <c r="O51" i="3"/>
  <c r="O38" i="3"/>
  <c r="O28" i="3"/>
  <c r="O29" i="3"/>
  <c r="O43" i="3"/>
  <c r="O30" i="3"/>
  <c r="O33" i="3"/>
  <c r="O50" i="3"/>
  <c r="O45" i="3"/>
  <c r="O31" i="3"/>
  <c r="O35" i="3"/>
  <c r="O49" i="3"/>
  <c r="O32" i="3"/>
  <c r="D19" i="3"/>
  <c r="O36" i="3"/>
  <c r="O41" i="3"/>
  <c r="O39" i="3"/>
  <c r="O47" i="3"/>
  <c r="R58" i="7"/>
  <c r="R57" i="7"/>
  <c r="S14" i="7"/>
  <c r="R11" i="7"/>
  <c r="Q14" i="5"/>
  <c r="P11" i="5"/>
  <c r="P57" i="5"/>
  <c r="P58" i="5"/>
  <c r="D29" i="1"/>
  <c r="A29" i="1"/>
  <c r="E29" i="1" s="1"/>
  <c r="B30" i="1"/>
  <c r="G40" i="3"/>
  <c r="K40" i="3"/>
  <c r="F41" i="3"/>
  <c r="E41" i="3"/>
  <c r="B42" i="3"/>
  <c r="I41" i="3"/>
  <c r="H41" i="3" s="1"/>
  <c r="N63" i="4"/>
  <c r="N62" i="4"/>
  <c r="O14" i="4"/>
  <c r="N11" i="4"/>
  <c r="S57" i="7" l="1"/>
  <c r="S11" i="7"/>
  <c r="S58" i="7"/>
  <c r="T14" i="7"/>
  <c r="Q58" i="5"/>
  <c r="Q57" i="5"/>
  <c r="R14" i="5"/>
  <c r="Q11" i="5"/>
  <c r="K41" i="3"/>
  <c r="G41" i="3"/>
  <c r="P14" i="4"/>
  <c r="O63" i="4"/>
  <c r="O11" i="4"/>
  <c r="O62" i="4"/>
  <c r="A30" i="1"/>
  <c r="E30" i="1" s="1"/>
  <c r="D30" i="1"/>
  <c r="E42" i="3"/>
  <c r="B43" i="3"/>
  <c r="I42" i="3"/>
  <c r="H42" i="3" s="1"/>
  <c r="F42" i="3"/>
  <c r="T11" i="7" l="1"/>
  <c r="T59" i="7"/>
  <c r="U14" i="7"/>
  <c r="T58" i="7"/>
  <c r="K42" i="3"/>
  <c r="G42" i="3"/>
  <c r="P11" i="4"/>
  <c r="P62" i="4"/>
  <c r="P63" i="4"/>
  <c r="Q14" i="4"/>
  <c r="I43" i="3"/>
  <c r="H43" i="3" s="1"/>
  <c r="F43" i="3"/>
  <c r="E43" i="3"/>
  <c r="B44" i="3"/>
  <c r="R58" i="5"/>
  <c r="R11" i="5"/>
  <c r="S14" i="5"/>
  <c r="R57" i="5"/>
  <c r="U11" i="7" l="1"/>
  <c r="U59" i="7"/>
  <c r="V14" i="7"/>
  <c r="U58" i="7"/>
  <c r="G43" i="3"/>
  <c r="K43" i="3"/>
  <c r="Q62" i="4"/>
  <c r="Q63" i="4"/>
  <c r="R14" i="4"/>
  <c r="Q11" i="4"/>
  <c r="S58" i="5"/>
  <c r="S11" i="5"/>
  <c r="S57" i="5"/>
  <c r="T14" i="5"/>
  <c r="B45" i="3"/>
  <c r="E44" i="3"/>
  <c r="I44" i="3"/>
  <c r="H44" i="3" s="1"/>
  <c r="F44" i="3"/>
  <c r="V59" i="7" l="1"/>
  <c r="W14" i="7"/>
  <c r="V58" i="7"/>
  <c r="V11" i="7"/>
  <c r="R63" i="4"/>
  <c r="R62" i="4"/>
  <c r="S14" i="4"/>
  <c r="R11" i="4"/>
  <c r="K44" i="3"/>
  <c r="G44" i="3"/>
  <c r="E45" i="3"/>
  <c r="I45" i="3"/>
  <c r="H45" i="3" s="1"/>
  <c r="F45" i="3"/>
  <c r="B46" i="3"/>
  <c r="T11" i="5"/>
  <c r="T58" i="5"/>
  <c r="U14" i="5"/>
  <c r="T59" i="5"/>
  <c r="W59" i="7" l="1"/>
  <c r="X14" i="7"/>
  <c r="W58" i="7"/>
  <c r="W11" i="7"/>
  <c r="U58" i="5"/>
  <c r="U59" i="5"/>
  <c r="U11" i="5"/>
  <c r="V14" i="5"/>
  <c r="S63" i="4"/>
  <c r="S11" i="4"/>
  <c r="T14" i="4"/>
  <c r="S62" i="4"/>
  <c r="I46" i="3"/>
  <c r="H46" i="3" s="1"/>
  <c r="F46" i="3"/>
  <c r="E46" i="3"/>
  <c r="B47" i="3"/>
  <c r="K45" i="3"/>
  <c r="G45" i="3"/>
  <c r="Y14" i="7" l="1"/>
  <c r="X58" i="7"/>
  <c r="X59" i="7"/>
  <c r="X11" i="7"/>
  <c r="T62" i="4"/>
  <c r="U14" i="4"/>
  <c r="T11" i="4"/>
  <c r="T63" i="4"/>
  <c r="F47" i="3"/>
  <c r="I47" i="3"/>
  <c r="H47" i="3" s="1"/>
  <c r="B48" i="3"/>
  <c r="E47" i="3"/>
  <c r="W14" i="5"/>
  <c r="V59" i="5"/>
  <c r="V11" i="5"/>
  <c r="V58" i="5"/>
  <c r="G46" i="3"/>
  <c r="K46" i="3"/>
  <c r="Z14" i="7" l="1"/>
  <c r="Y58" i="7"/>
  <c r="Y11" i="7"/>
  <c r="Y59" i="7"/>
  <c r="B49" i="3"/>
  <c r="I48" i="3"/>
  <c r="H48" i="3" s="1"/>
  <c r="F48" i="3"/>
  <c r="E48" i="3"/>
  <c r="X14" i="5"/>
  <c r="W59" i="5"/>
  <c r="W11" i="5"/>
  <c r="W58" i="5"/>
  <c r="K47" i="3"/>
  <c r="G47" i="3"/>
  <c r="U62" i="4"/>
  <c r="U63" i="4"/>
  <c r="V14" i="4"/>
  <c r="U11" i="4"/>
  <c r="Z58" i="7" l="1"/>
  <c r="Z11" i="7"/>
  <c r="AA14" i="7"/>
  <c r="Z59" i="7"/>
  <c r="Y14" i="5"/>
  <c r="X11" i="5"/>
  <c r="X58" i="5"/>
  <c r="X59" i="5"/>
  <c r="V63" i="4"/>
  <c r="W14" i="4"/>
  <c r="V11" i="4"/>
  <c r="V62" i="4"/>
  <c r="K48" i="3"/>
  <c r="G48" i="3"/>
  <c r="B50" i="3"/>
  <c r="I49" i="3"/>
  <c r="H49" i="3" s="1"/>
  <c r="F49" i="3"/>
  <c r="E49" i="3"/>
  <c r="AA11" i="7" l="1"/>
  <c r="AA58" i="7"/>
  <c r="AA59" i="7"/>
  <c r="AB14" i="7"/>
  <c r="X14" i="4"/>
  <c r="W63" i="4"/>
  <c r="W11" i="4"/>
  <c r="W62" i="4"/>
  <c r="I50" i="3"/>
  <c r="H50" i="3" s="1"/>
  <c r="F50" i="3"/>
  <c r="B51" i="3"/>
  <c r="E50" i="3"/>
  <c r="K49" i="3"/>
  <c r="G49" i="3"/>
  <c r="Y59" i="5"/>
  <c r="Y58" i="5"/>
  <c r="Z14" i="5"/>
  <c r="Y11" i="5"/>
  <c r="AB11" i="7" l="1"/>
  <c r="AB59" i="7"/>
  <c r="AC14" i="7"/>
  <c r="AB58" i="7"/>
  <c r="F51" i="3"/>
  <c r="I51" i="3"/>
  <c r="H51" i="3" s="1"/>
  <c r="E51" i="3"/>
  <c r="Z59" i="5"/>
  <c r="Z11" i="5"/>
  <c r="AA14" i="5"/>
  <c r="Z58" i="5"/>
  <c r="G50" i="3"/>
  <c r="K50" i="3"/>
  <c r="X11" i="4"/>
  <c r="X62" i="4"/>
  <c r="X63" i="4"/>
  <c r="Y14" i="4"/>
  <c r="AC56" i="7" l="1"/>
  <c r="AC54" i="7"/>
  <c r="AC52" i="7"/>
  <c r="AC50" i="7"/>
  <c r="AC48" i="7"/>
  <c r="AC46" i="7"/>
  <c r="AC44" i="7"/>
  <c r="AC42" i="7"/>
  <c r="AC40" i="7"/>
  <c r="AC38" i="7"/>
  <c r="AC36" i="7"/>
  <c r="AC34" i="7"/>
  <c r="AC32" i="7"/>
  <c r="AC30" i="7"/>
  <c r="AC28" i="7"/>
  <c r="AC26" i="7"/>
  <c r="AC24" i="7"/>
  <c r="AC22" i="7"/>
  <c r="AC19" i="7"/>
  <c r="AC11" i="7"/>
  <c r="AC16" i="7"/>
  <c r="AC59" i="7"/>
  <c r="AC18" i="7"/>
  <c r="AC57" i="7"/>
  <c r="AC55" i="7"/>
  <c r="AC53" i="7"/>
  <c r="AC51" i="7"/>
  <c r="AC49" i="7"/>
  <c r="AC47" i="7"/>
  <c r="AC45" i="7"/>
  <c r="AC43" i="7"/>
  <c r="AC41" i="7"/>
  <c r="AC39" i="7"/>
  <c r="AC37" i="7"/>
  <c r="AC35" i="7"/>
  <c r="AC33" i="7"/>
  <c r="AC31" i="7"/>
  <c r="AC29" i="7"/>
  <c r="AC27" i="7"/>
  <c r="AC25" i="7"/>
  <c r="AC23" i="7"/>
  <c r="AC21" i="7"/>
  <c r="AD14" i="7"/>
  <c r="AC58" i="7"/>
  <c r="AC17" i="7"/>
  <c r="K51" i="3"/>
  <c r="G51" i="3"/>
  <c r="AA59" i="5"/>
  <c r="AA11" i="5"/>
  <c r="AA58" i="5"/>
  <c r="AB14" i="5"/>
  <c r="Y62" i="4"/>
  <c r="Z14" i="4"/>
  <c r="Y63" i="4"/>
  <c r="Y11" i="4"/>
  <c r="AC10" i="7" l="1"/>
  <c r="AD16" i="7"/>
  <c r="AD59" i="7"/>
  <c r="AD18" i="7"/>
  <c r="AD46" i="7"/>
  <c r="AD24" i="7"/>
  <c r="AD11" i="7"/>
  <c r="AD55" i="7"/>
  <c r="AD53" i="7"/>
  <c r="AD51" i="7"/>
  <c r="AD49" i="7"/>
  <c r="AD47" i="7"/>
  <c r="AD45" i="7"/>
  <c r="AD43" i="7"/>
  <c r="AD41" i="7"/>
  <c r="AD39" i="7"/>
  <c r="AD37" i="7"/>
  <c r="AD35" i="7"/>
  <c r="AD33" i="7"/>
  <c r="AD31" i="7"/>
  <c r="AD29" i="7"/>
  <c r="AD27" i="7"/>
  <c r="AD25" i="7"/>
  <c r="AD23" i="7"/>
  <c r="AD21" i="7"/>
  <c r="AD54" i="7"/>
  <c r="AD50" i="7"/>
  <c r="AD40" i="7"/>
  <c r="AD32" i="7"/>
  <c r="AD58" i="7"/>
  <c r="AD17" i="7"/>
  <c r="AD56" i="7"/>
  <c r="AD48" i="7"/>
  <c r="AD38" i="7"/>
  <c r="AD34" i="7"/>
  <c r="AD26" i="7"/>
  <c r="AD19" i="7"/>
  <c r="AD52" i="7"/>
  <c r="AD44" i="7"/>
  <c r="AD36" i="7"/>
  <c r="AD28" i="7"/>
  <c r="AD57" i="7"/>
  <c r="AD42" i="7"/>
  <c r="AD30" i="7"/>
  <c r="AD22" i="7"/>
  <c r="AB11" i="5"/>
  <c r="AB58" i="5"/>
  <c r="AC14" i="5"/>
  <c r="AB59" i="5"/>
  <c r="Z63" i="4"/>
  <c r="Z11" i="4"/>
  <c r="Z62" i="4"/>
  <c r="AA14" i="4"/>
  <c r="AD10" i="7" l="1"/>
  <c r="D11" i="7" s="1"/>
  <c r="D13" i="7" s="1"/>
  <c r="AA63" i="4"/>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18" i="5"/>
  <c r="AC16" i="5"/>
  <c r="AC11" i="5"/>
  <c r="AD14" i="5"/>
  <c r="F13" i="7" l="1"/>
  <c r="AB12" i="7" s="1"/>
  <c r="AC10" i="5"/>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18" i="5"/>
  <c r="AD16" i="5"/>
  <c r="AD11" i="5"/>
  <c r="AD58" i="5"/>
  <c r="L12" i="7" l="1"/>
  <c r="Y12" i="7"/>
  <c r="R12" i="7"/>
  <c r="G12" i="7"/>
  <c r="M12" i="7"/>
  <c r="AC12" i="7"/>
  <c r="N12" i="7"/>
  <c r="O12" i="7"/>
  <c r="X12" i="7"/>
  <c r="P12" i="7"/>
  <c r="AA12" i="7"/>
  <c r="F12" i="7"/>
  <c r="Q12" i="7"/>
  <c r="H12" i="7"/>
  <c r="V12" i="7"/>
  <c r="AD12" i="7"/>
  <c r="T12" i="7"/>
  <c r="K12" i="7"/>
  <c r="S12" i="7"/>
  <c r="J12" i="7"/>
  <c r="I12" i="7"/>
  <c r="W12" i="7"/>
  <c r="U12" i="7"/>
  <c r="Z12" i="7"/>
  <c r="AD10" i="5"/>
  <c r="D11" i="5" s="1"/>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D13" i="5" l="1"/>
  <c r="F13"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l="1"/>
  <c r="W12" i="5"/>
  <c r="R12" i="5"/>
  <c r="O12" i="5"/>
  <c r="AB12" i="5"/>
  <c r="Y12" i="5"/>
  <c r="V12" i="5"/>
  <c r="U12" i="5"/>
  <c r="I12" i="5"/>
  <c r="Q12" i="5"/>
  <c r="H12" i="5"/>
  <c r="N12" i="5"/>
  <c r="L12" i="5"/>
  <c r="X12" i="5"/>
  <c r="Z12" i="5"/>
  <c r="AC12" i="5"/>
  <c r="F12" i="5"/>
  <c r="J12" i="5"/>
  <c r="P12" i="5"/>
  <c r="M12" i="5"/>
  <c r="AD12" i="5"/>
  <c r="AA12" i="5"/>
  <c r="S12" i="5"/>
  <c r="K12" i="5"/>
  <c r="G12" i="5"/>
  <c r="AD10" i="4"/>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9D471D14-1BED-486C-B702-E4F5F4C13A6E}">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<sst xmlns="http://schemas.openxmlformats.org/spreadsheetml/2006/main" count="283" uniqueCount="158">
  <si>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</si>
  <si>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</si>
  <si>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</si>
  <si>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</si>
  <si>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</si>
  <si>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</si>
  <si>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</si>
  <si>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</si>
  <si>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</si>
  <si>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</si>
  <si>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</si>
  <si>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</si>
  <si>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</si>
  <si>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</si>
  <si>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</si>
  <si>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</si>
  <si>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</si>
  <si>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</si>
  <si>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</si>
  <si>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</si>
  <si>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</si>
  <si>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</si>
  <si>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</si>
  <si>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</si>
  <si>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</si>
  <si>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Ongoing</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</si>
  <si>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</si>
  <si>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</si>
  <si>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</si>
  <si>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</si>
  <si>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</si>
  <si>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</si>
  <si>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</si>
  <si>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</si>
  <si>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</si>
  <si>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</si>
  <si>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</si>
  <si>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</si>
  <si>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</si>
  <si>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</si>
  <si>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</si>
  <si>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</si>
  <si>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</si>
  <si>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</si>
  <si>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</si>
  <si>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</si>
  <si>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</si>
  <si>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</si>
  <si>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</si>
  <si>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</si>
  <si>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</si>
  <si>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</si>
  <si>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</si>
  <si>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</si>
  <si>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</si>
  <si>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</si>
  <si>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</si>
  <si>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</si>
  <si>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</si>
  <si>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</si>
  <si>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</si>
  <si>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</si>
  <si>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</si>
  <si>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</si>
  <si>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</si>
  <si>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</si>
  <si>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</si>
  <si>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</si>
  <si>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</si>
  <si>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</si>
  <si>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</si>
  <si>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</si>
  <si>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</si>
  <si>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</si>
  <si>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</si>
  <si>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</si>
  <si>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</si>
  <si>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</si>
  <si>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</si>
  <si>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</si>
  <si>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</si>
  <si>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</si>
  <si>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</si>
  <si>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</si>
  <si>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</si>
  <si>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</si>
  <si>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</si>
  <si>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</si>
  <si>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</si>
  <si>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</si>
  <si>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</si>
  <si>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</si>
  <si>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</si>
  <si>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</si>
  <si>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</si>
  <si>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</si>
  <si>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</si>
  <si>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</si>
  <si>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</si>
  <si>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</si>
  <si>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</si>
  <si>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</si>
  <si>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</si>
  <si>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</si>
  <si>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</si>
  <si>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</si>
  <si>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</si>
  <si>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</si>
  <si>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</si>
  <si>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</si>
  <si>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</si>
  <si>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</si>
  <si>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</si>
  <si>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</si>
  <si>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</si>
  <si>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</si>
  <si>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</si>
  <si>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</si>
  <si>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</si>
  <si>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</si>
  <si>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</si>
  <si>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</si>
  <si>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</si>
  <si>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</si>
  <si>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</si>
  <si>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</si>
  <si>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</si>
  <si>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</si>
  <si>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</si>
  <si>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</si>
  <si>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</si>
  <si>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</si>
  <si>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</si>
  <si>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</si>
  <si>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</si>
  <si>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</si>
  <si>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</si>
  <si>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</si>
  <si>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</si>
  <si>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</si>
  <si>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</si>
  <si>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</si>
  <si>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</si>
  <si>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</si>
  <si>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</si>
  <si>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</si>
  <si>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</si>
  <si>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</si>
  <si>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</si>
  <si>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</si>
  <si>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Done</t>
  </si>
  <si>
    <t>Sprint 3 Backlog</t>
  </si>
  <si>
    <t>Julia McDowell, Hugo Baird &amp; Leon Hoogenraad</t>
  </si>
  <si>
    <t>Forwarding/Recommending System</t>
  </si>
  <si>
    <t>Efficient Setup Instructions</t>
  </si>
  <si>
    <t>Delete Account/Hide Account</t>
  </si>
  <si>
    <t>Hugo Baird &amp; Cedric Stephani</t>
  </si>
  <si>
    <t>Julia McDowell &amp; Hugo Baird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</si>
</sst>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47">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24</c:v>
                </c:pt>
                <c:pt idx="6">
                  <c:v>21</c:v>
                </c:pt>
                <c:pt idx="7">
                  <c:v>20</c:v>
                </c:pt>
                <c:pt idx="8">
                  <c:v>20</c:v>
                </c:pt>
                <c:pt idx="9">
                  <c:v>18</c:v>
                </c:pt>
                <c:pt idx="10">
                  <c:v>15</c:v>
                </c:pt>
                <c:pt idx="11">
                  <c:v>14</c:v>
                </c:pt>
                <c:pt idx="12">
                  <c:v>13</c:v>
                </c:pt>
                <c:pt idx="13">
                  <c:v>7</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34.628571428571426</c:v>
                </c:pt>
                <c:pt idx="1">
                  <c:v>32.652747252747254</c:v>
                </c:pt>
                <c:pt idx="2">
                  <c:v>30.676923076923075</c:v>
                </c:pt>
                <c:pt idx="3">
                  <c:v>28.701098901098902</c:v>
                </c:pt>
                <c:pt idx="4">
                  <c:v>26.725274725274723</c:v>
                </c:pt>
                <c:pt idx="5">
                  <c:v>24.749450549450547</c:v>
                </c:pt>
                <c:pt idx="6">
                  <c:v>22.773626373626371</c:v>
                </c:pt>
                <c:pt idx="7">
                  <c:v>20.797802197802195</c:v>
                </c:pt>
                <c:pt idx="8">
                  <c:v>18.821978021978019</c:v>
                </c:pt>
                <c:pt idx="9">
                  <c:v>16.846153846153843</c:v>
                </c:pt>
                <c:pt idx="10">
                  <c:v>14.870329670329667</c:v>
                </c:pt>
                <c:pt idx="11">
                  <c:v>12.894505494505488</c:v>
                </c:pt>
                <c:pt idx="12">
                  <c:v>10.918681318681312</c:v>
                </c:pt>
                <c:pt idx="13">
                  <c:v>8.942857142857136</c:v>
                </c:pt>
                <c:pt idx="14">
                  <c:v>6.96703296703296</c:v>
                </c:pt>
                <c:pt idx="15">
                  <c:v>4.9912087912087841</c:v>
                </c:pt>
                <c:pt idx="16">
                  <c:v>3.0153846153846047</c:v>
                </c:pt>
                <c:pt idx="17">
                  <c:v>1.0395604395604323</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34</c:v>
                </c:pt>
                <c:pt idx="4">
                  <c:v>30</c:v>
                </c:pt>
                <c:pt idx="5">
                  <c:v>21</c:v>
                </c:pt>
                <c:pt idx="6">
                  <c:v>18</c:v>
                </c:pt>
                <c:pt idx="7">
                  <c:v>9</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46.916666666666664</c:v>
                </c:pt>
                <c:pt idx="1">
                  <c:v>41.94047619047619</c:v>
                </c:pt>
                <c:pt idx="2">
                  <c:v>36.964285714285708</c:v>
                </c:pt>
                <c:pt idx="3">
                  <c:v>31.988095238095237</c:v>
                </c:pt>
                <c:pt idx="4">
                  <c:v>27.011904761904763</c:v>
                </c:pt>
                <c:pt idx="5">
                  <c:v>22.035714285714285</c:v>
                </c:pt>
                <c:pt idx="6">
                  <c:v>17.05952380952381</c:v>
                </c:pt>
                <c:pt idx="7">
                  <c:v>12.083333333333336</c:v>
                </c:pt>
                <c:pt idx="8">
                  <c:v>7.1071428571428612</c:v>
                </c:pt>
                <c:pt idx="9">
                  <c:v>2.1309523809523867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'Sp3'!$F$10:$AD$10</c:f>
              <c:numCache>
                <c:formatCode>General</c:formatCode>
                <c:ptCount val="25"/>
                <c:pt idx="0">
                  <c:v>38</c:v>
                </c:pt>
                <c:pt idx="1">
                  <c:v>38</c:v>
                </c:pt>
                <c:pt idx="2">
                  <c:v>36</c:v>
                </c:pt>
                <c:pt idx="3">
                  <c:v>35</c:v>
                </c:pt>
                <c:pt idx="4">
                  <c:v>34</c:v>
                </c:pt>
                <c:pt idx="5">
                  <c:v>31</c:v>
                </c:pt>
                <c:pt idx="6">
                  <c:v>27</c:v>
                </c:pt>
                <c:pt idx="7">
                  <c:v>23</c:v>
                </c:pt>
                <c:pt idx="8">
                  <c:v>17</c:v>
                </c:pt>
                <c:pt idx="9">
                  <c:v>14</c:v>
                </c:pt>
                <c:pt idx="10">
                  <c:v>14</c:v>
                </c:pt>
                <c:pt idx="11">
                  <c:v>11</c:v>
                </c:pt>
                <c:pt idx="12">
                  <c:v>8</c:v>
                </c:pt>
                <c:pt idx="13">
                  <c:v>5</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349-46CD-A5F2-871AAE7A2D95}"/>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4349-46CD-A5F2-871AAE7A2D95}"/>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'Sp3'!$F$12:$AD$12</c:f>
              <c:numCache>
                <c:formatCode>General</c:formatCode>
                <c:ptCount val="25"/>
                <c:pt idx="0">
                  <c:v>41.885714285714286</c:v>
                </c:pt>
                <c:pt idx="1">
                  <c:v>39.079120879120879</c:v>
                </c:pt>
                <c:pt idx="2">
                  <c:v>36.272527472527472</c:v>
                </c:pt>
                <c:pt idx="3">
                  <c:v>33.465934065934064</c:v>
                </c:pt>
                <c:pt idx="4">
                  <c:v>30.659340659340657</c:v>
                </c:pt>
                <c:pt idx="5">
                  <c:v>27.85274725274725</c:v>
                </c:pt>
                <c:pt idx="6">
                  <c:v>25.046153846153842</c:v>
                </c:pt>
                <c:pt idx="7">
                  <c:v>22.239560439560435</c:v>
                </c:pt>
                <c:pt idx="8">
                  <c:v>19.432967032967028</c:v>
                </c:pt>
                <c:pt idx="9">
                  <c:v>16.626373626373621</c:v>
                </c:pt>
                <c:pt idx="10">
                  <c:v>13.819780219780213</c:v>
                </c:pt>
                <c:pt idx="11">
                  <c:v>11.013186813186806</c:v>
                </c:pt>
                <c:pt idx="12">
                  <c:v>8.2065934065933988</c:v>
                </c:pt>
                <c:pt idx="13">
                  <c:v>5.3999999999999915</c:v>
                </c:pt>
                <c:pt idx="14">
                  <c:v>2.5934065934065842</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349-46CD-A5F2-871AAE7A2D95}"/>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19</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47</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2" name="Chart 2">
          <a:extLst>
            <a:ext uri="{FF2B5EF4-FFF2-40B4-BE49-F238E27FC236}">
              <a16:creationId xmlns:a16="http://schemas.microsoft.com/office/drawing/2014/main" id="{CE276C0B-711C-4800-A616-4531B8EFB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3" name="CustomShape 1" hidden="1">
          <a:extLst>
            <a:ext uri="{FF2B5EF4-FFF2-40B4-BE49-F238E27FC236}">
              <a16:creationId xmlns:a16="http://schemas.microsoft.com/office/drawing/2014/main" id="{504A5D28-6FAA-4AB2-AA1B-D7D2F4D7B810}"/>
            </a:ext>
          </a:extLst>
        </xdr:cNvPr>
        <xdr:cNvSpPr/>
      </xdr:nvSpPr>
      <xdr:spPr>
        <a:xfrm>
          <a:off x="237960" y="977220"/>
          <a:ext cx="149436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4" name="CustomShape 1" hidden="1">
          <a:extLst>
            <a:ext uri="{FF2B5EF4-FFF2-40B4-BE49-F238E27FC236}">
              <a16:creationId xmlns:a16="http://schemas.microsoft.com/office/drawing/2014/main" id="{BA8B0DFC-3021-409D-8586-9401EBA4CF38}"/>
            </a:ext>
          </a:extLst>
        </xdr:cNvPr>
        <xdr:cNvSpPr/>
      </xdr:nvSpPr>
      <xdr:spPr>
        <a:xfrm>
          <a:off x="2000160" y="977220"/>
          <a:ext cx="143328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5" name="CustomShape 1" hidden="1">
          <a:extLst>
            <a:ext uri="{FF2B5EF4-FFF2-40B4-BE49-F238E27FC236}">
              <a16:creationId xmlns:a16="http://schemas.microsoft.com/office/drawing/2014/main" id="{9CDD8827-0CFE-445B-81AD-896D5B2493B1}"/>
            </a:ext>
          </a:extLst>
        </xdr:cNvPr>
        <xdr:cNvSpPr/>
      </xdr:nvSpPr>
      <xdr:spPr>
        <a:xfrm>
          <a:off x="0" y="0"/>
          <a:ext cx="11365680" cy="128821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tabSelected="1" zoomScaleNormal="100" workbookViewId="0">
      <selection activeCell="H23" sqref="H23"/>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25</v>
      </c>
      <c r="G16" s="30"/>
      <c r="H16" s="32" t="s">
        <v>14</v>
      </c>
      <c r="I16" s="33">
        <v>1</v>
      </c>
    </row>
    <row r="17" spans="1:9" x14ac:dyDescent="0.25">
      <c r="A17" s="12">
        <v>2</v>
      </c>
      <c r="B17" s="31">
        <f>IF(AND(B16&lt;&gt;"",C16&lt;&gt;"",C17&lt;&gt;""),B16+C16,"")</f>
        <v>43941</v>
      </c>
      <c r="C17" s="30">
        <v>14</v>
      </c>
      <c r="D17" s="31">
        <f>IF(AND(B17&lt;&gt;"",C17&lt;&gt;""),B17+C17-1,"")</f>
        <v>43954</v>
      </c>
      <c r="E17" s="12">
        <v>44</v>
      </c>
      <c r="F17" s="13" t="s">
        <v>25</v>
      </c>
      <c r="G17" s="30"/>
      <c r="H17" s="34" t="s">
        <v>15</v>
      </c>
      <c r="I17" s="35">
        <v>2</v>
      </c>
    </row>
    <row r="18" spans="1:9" x14ac:dyDescent="0.25">
      <c r="A18" s="12">
        <v>3</v>
      </c>
      <c r="B18" s="31">
        <f>IF(AND(B17&lt;&gt;"",C17&lt;&gt;"",C18&lt;&gt;""),B17+C17,"")</f>
        <v>43955</v>
      </c>
      <c r="C18" s="30">
        <v>14</v>
      </c>
      <c r="D18" s="31">
        <f>IF(AND(B18&lt;&gt;"",C18&lt;&gt;""),B18+C18-1,"")</f>
        <v>43968</v>
      </c>
      <c r="E18" s="12">
        <v>40</v>
      </c>
      <c r="F18" s="13" t="str">
        <f>IF(AND(OR(F17="Planned",F17="Ongoing"),C18&lt;&gt;""),"Planned","Unplanned")</f>
        <v>Planned</v>
      </c>
      <c r="G18" s="30"/>
      <c r="H18" s="34" t="s">
        <v>16</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Backlog'!E$6:E$100,'Release Plan'!A22,'Product Backlog'!D$6:D$100))</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Backlog'!E$6:E$100,'Release Plan'!A23,'Product Backlog'!D$6:D$100))</f>
        <v/>
      </c>
      <c r="F23" s="13" t="str">
        <f t="shared" si="5"/>
        <v>Unplanned</v>
      </c>
      <c r="G23" s="30"/>
      <c r="H23" s="34"/>
      <c r="I23" s="35"/>
    </row>
    <row r="24" spans="1:9" x14ac:dyDescent="0.25">
      <c r="A24" s="12" t="str">
        <f t="shared" si="2"/>
        <v/>
      </c>
      <c r="B24" s="31" t="str">
        <f t="shared" si="3"/>
        <v/>
      </c>
      <c r="C24" s="30"/>
      <c r="D24" s="31" t="str">
        <f t="shared" si="4"/>
        <v/>
      </c>
      <c r="E24" s="12" t="str">
        <f>IF(A24="","",SUMIF('Product Backlog'!E$6:E$100,'Release Plan'!A24,'Product Backlog'!D$6:D$100))</f>
        <v/>
      </c>
      <c r="F24" s="13" t="str">
        <f t="shared" si="5"/>
        <v>Unplanned</v>
      </c>
      <c r="G24" s="30"/>
      <c r="H24" s="34"/>
      <c r="I24" s="35"/>
    </row>
    <row r="25" spans="1:9" x14ac:dyDescent="0.25">
      <c r="A25" s="12" t="str">
        <f t="shared" si="2"/>
        <v/>
      </c>
      <c r="B25" s="31" t="str">
        <f t="shared" si="3"/>
        <v/>
      </c>
      <c r="C25" s="30"/>
      <c r="D25" s="31" t="str">
        <f t="shared" si="4"/>
        <v/>
      </c>
      <c r="E25" s="12" t="str">
        <f>IF(A25="","",SUMIF('Product Backlog'!E$6:E$100,'Release Plan'!A25,'Product Backlog'!D$6:D$100))</f>
        <v/>
      </c>
      <c r="F25" s="13" t="str">
        <f t="shared" si="5"/>
        <v>Unplanned</v>
      </c>
      <c r="G25" s="30"/>
      <c r="H25" s="34"/>
      <c r="I25" s="35"/>
    </row>
    <row r="26" spans="1:9" x14ac:dyDescent="0.25">
      <c r="A26" s="12" t="str">
        <f t="shared" si="2"/>
        <v/>
      </c>
      <c r="B26" s="31" t="str">
        <f t="shared" si="3"/>
        <v/>
      </c>
      <c r="C26" s="30"/>
      <c r="D26" s="31" t="str">
        <f t="shared" si="4"/>
        <v/>
      </c>
      <c r="E26" s="12" t="str">
        <f>IF(A26="","",SUMIF('Product Backlog'!E$6:E$100,'Release Plan'!A26,'Product Backlog'!D$6:D$100))</f>
        <v/>
      </c>
      <c r="F26" s="13" t="str">
        <f t="shared" si="5"/>
        <v>Unplanned</v>
      </c>
      <c r="G26" s="30"/>
      <c r="H26" s="34"/>
      <c r="I26" s="35"/>
    </row>
    <row r="27" spans="1:9" x14ac:dyDescent="0.25">
      <c r="A27" s="12" t="str">
        <f t="shared" si="2"/>
        <v/>
      </c>
      <c r="B27" s="31" t="str">
        <f t="shared" si="3"/>
        <v/>
      </c>
      <c r="C27" s="30"/>
      <c r="D27" s="31" t="str">
        <f t="shared" si="4"/>
        <v/>
      </c>
      <c r="E27" s="12" t="str">
        <f>IF(A27="","",SUMIF('Product Backlog'!E$6:E$100,'Release Plan'!A27,'Product Backlog'!D$6:D$100))</f>
        <v/>
      </c>
      <c r="F27" s="13" t="str">
        <f t="shared" si="5"/>
        <v>Unplanned</v>
      </c>
      <c r="G27" s="30"/>
      <c r="H27" s="34"/>
      <c r="I27" s="35"/>
    </row>
    <row r="28" spans="1:9" x14ac:dyDescent="0.25">
      <c r="A28" s="12" t="str">
        <f t="shared" si="2"/>
        <v/>
      </c>
      <c r="B28" s="31" t="str">
        <f t="shared" si="3"/>
        <v/>
      </c>
      <c r="C28" s="30"/>
      <c r="D28" s="31" t="str">
        <f t="shared" si="4"/>
        <v/>
      </c>
      <c r="E28" s="12" t="str">
        <f>IF(A28="","",SUMIF('Product Backlog'!E$6:E$100,'Release Plan'!A28,'Product Backlog'!D$6:D$100))</f>
        <v/>
      </c>
      <c r="F28" s="13" t="str">
        <f t="shared" si="5"/>
        <v>Unplanned</v>
      </c>
      <c r="G28" s="30"/>
      <c r="H28" s="34"/>
      <c r="I28" s="35"/>
    </row>
    <row r="29" spans="1:9" x14ac:dyDescent="0.25">
      <c r="A29" s="12" t="str">
        <f t="shared" si="2"/>
        <v/>
      </c>
      <c r="B29" s="31" t="str">
        <f t="shared" si="3"/>
        <v/>
      </c>
      <c r="C29" s="30"/>
      <c r="D29" s="31" t="str">
        <f t="shared" si="4"/>
        <v/>
      </c>
      <c r="E29" s="12" t="str">
        <f>IF(A29="","",SUMIF('Product Backlog'!E$6:E$100,'Release Plan'!A29,'Product Backlog'!D$6:D$100))</f>
        <v/>
      </c>
      <c r="F29" s="13" t="str">
        <f t="shared" si="5"/>
        <v>Unplanned</v>
      </c>
      <c r="G29" s="30"/>
      <c r="H29" s="34"/>
      <c r="I29" s="35"/>
    </row>
    <row r="30" spans="1:9" x14ac:dyDescent="0.25">
      <c r="A30" s="12" t="str">
        <f t="shared" si="2"/>
        <v/>
      </c>
      <c r="B30" s="31" t="str">
        <f t="shared" si="3"/>
        <v/>
      </c>
      <c r="C30" s="30"/>
      <c r="D30" s="31" t="str">
        <f t="shared" si="4"/>
        <v/>
      </c>
      <c r="E30" s="12" t="str">
        <f>IF(A30="","",SUMIF('Product Backlog'!E$6:E$100,'Release Plan'!A30,'Product Backlog'!D$6:D$100))</f>
        <v/>
      </c>
      <c r="F30" s="13" t="str">
        <f t="shared" si="5"/>
        <v>Unplanned</v>
      </c>
      <c r="G30" s="30"/>
      <c r="H30" s="36"/>
      <c r="I30" s="37"/>
    </row>
    <row r="31" spans="1:9" x14ac:dyDescent="0.25">
      <c r="A31" s="38"/>
      <c r="B31" s="38"/>
      <c r="C31" s="38"/>
      <c r="D31" s="39" t="s">
        <v>17</v>
      </c>
      <c r="E31" s="11">
        <f>SUMIF('Product Backlog'!E$6:E$100,"",'Product Backlog'!D$6:D$100)-SUMIF('Product Backlog'!C$6:C$100,"Removed",'Product Backlog'!D$6:D$100)</f>
        <v>0</v>
      </c>
      <c r="F31" s="38"/>
      <c r="G31" s="40"/>
      <c r="H31" s="38"/>
    </row>
  </sheetData>
  <conditionalFormatting sqref="G4:H10 E31 E5:E10 A4:D10">
    <cfRule type="expression" dxfId="46" priority="2">
      <formula>$F4="Planned"</formula>
    </cfRule>
    <cfRule type="expression" dxfId="45" priority="3">
      <formula>$F4="Ongoing"</formula>
    </cfRule>
  </conditionalFormatting>
  <conditionalFormatting sqref="F4:F10 F16:F30">
    <cfRule type="expression" dxfId="44" priority="4">
      <formula>$F4="Planned"</formula>
    </cfRule>
    <cfRule type="expression" dxfId="43" priority="5">
      <formula>$F4="Ongoing"</formula>
    </cfRule>
    <cfRule type="cellIs" dxfId="42" priority="6" operator="equal">
      <formula>"Unplanned"</formula>
    </cfRule>
  </conditionalFormatting>
  <conditionalFormatting sqref="E4 G16:H30 A16:E30">
    <cfRule type="expression" dxfId="41" priority="7">
      <formula>OR($F4="Planned",$F4="Unplanned")</formula>
    </cfRule>
    <cfRule type="expression" dxfId="40"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13" activePane="bottomLeft" state="frozen"/>
      <selection pane="bottomLeft" activeCell="B51" sqref="B51"/>
    </sheetView>
  </sheetViews>
  <sheetFormatPr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18</v>
      </c>
      <c r="C1" s="45" t="s">
        <v>19</v>
      </c>
    </row>
    <row r="2" spans="1:7" x14ac:dyDescent="0.25">
      <c r="D2" s="46"/>
    </row>
    <row r="4" spans="1:7" x14ac:dyDescent="0.25">
      <c r="A4" s="47" t="s">
        <v>20</v>
      </c>
      <c r="B4" s="48" t="s">
        <v>21</v>
      </c>
      <c r="C4" s="47" t="s">
        <v>6</v>
      </c>
      <c r="D4" s="47" t="s">
        <v>5</v>
      </c>
      <c r="E4" s="47" t="s">
        <v>11</v>
      </c>
      <c r="F4" s="47" t="s">
        <v>22</v>
      </c>
      <c r="G4" s="48" t="s">
        <v>23</v>
      </c>
    </row>
    <row r="5" spans="1:7" ht="26.4" x14ac:dyDescent="0.25">
      <c r="A5" s="41">
        <v>1</v>
      </c>
      <c r="B5" s="49" t="s">
        <v>24</v>
      </c>
      <c r="C5" s="41" t="s">
        <v>25</v>
      </c>
      <c r="D5" s="41">
        <v>4</v>
      </c>
      <c r="E5" s="41">
        <v>1</v>
      </c>
      <c r="G5" s="49" t="s">
        <v>26</v>
      </c>
    </row>
    <row r="6" spans="1:7" ht="39.6" x14ac:dyDescent="0.25">
      <c r="A6" s="41">
        <v>2</v>
      </c>
      <c r="B6" s="49" t="s">
        <v>27</v>
      </c>
      <c r="C6" s="50" t="s">
        <v>13</v>
      </c>
      <c r="D6" s="41">
        <v>15</v>
      </c>
      <c r="E6" s="41">
        <v>2</v>
      </c>
      <c r="G6" s="49" t="s">
        <v>28</v>
      </c>
    </row>
    <row r="7" spans="1:7" ht="39.6" x14ac:dyDescent="0.25">
      <c r="A7" s="41">
        <v>3</v>
      </c>
      <c r="B7" s="49" t="s">
        <v>29</v>
      </c>
      <c r="C7" s="50" t="s">
        <v>25</v>
      </c>
      <c r="D7" s="41">
        <v>18</v>
      </c>
      <c r="E7" s="41">
        <v>1</v>
      </c>
      <c r="G7" s="49" t="s">
        <v>30</v>
      </c>
    </row>
    <row r="8" spans="1:7" ht="39.6" x14ac:dyDescent="0.25">
      <c r="A8" s="41">
        <v>4</v>
      </c>
      <c r="B8" s="49" t="s">
        <v>31</v>
      </c>
      <c r="C8" s="50" t="s">
        <v>25</v>
      </c>
      <c r="D8" s="41">
        <v>4</v>
      </c>
      <c r="E8" s="41">
        <v>1</v>
      </c>
      <c r="G8" s="49" t="s">
        <v>32</v>
      </c>
    </row>
    <row r="9" spans="1:7" ht="26.25" customHeight="1" x14ac:dyDescent="0.25">
      <c r="A9" s="41">
        <v>5</v>
      </c>
      <c r="B9" s="49" t="s">
        <v>33</v>
      </c>
      <c r="C9" s="50" t="s">
        <v>13</v>
      </c>
      <c r="D9" s="41">
        <v>5</v>
      </c>
      <c r="E9" s="41">
        <v>2</v>
      </c>
      <c r="G9" s="49" t="s">
        <v>34</v>
      </c>
    </row>
    <row r="10" spans="1:7" ht="26.25" customHeight="1" x14ac:dyDescent="0.25">
      <c r="A10" s="41">
        <v>6</v>
      </c>
      <c r="B10" s="49" t="s">
        <v>35</v>
      </c>
      <c r="C10" s="50" t="s">
        <v>13</v>
      </c>
      <c r="D10" s="41">
        <v>10</v>
      </c>
      <c r="E10" s="41">
        <v>3</v>
      </c>
      <c r="G10" s="49" t="s">
        <v>36</v>
      </c>
    </row>
    <row r="11" spans="1:7" ht="39.6" x14ac:dyDescent="0.25">
      <c r="A11" s="41">
        <v>7</v>
      </c>
      <c r="B11" s="49" t="s">
        <v>37</v>
      </c>
      <c r="C11" s="50" t="s">
        <v>13</v>
      </c>
      <c r="D11" s="41">
        <v>8</v>
      </c>
      <c r="E11" s="41">
        <v>3</v>
      </c>
      <c r="G11" s="49" t="s">
        <v>38</v>
      </c>
    </row>
    <row r="12" spans="1:7" ht="26.4" x14ac:dyDescent="0.25">
      <c r="A12" s="41">
        <v>8</v>
      </c>
      <c r="B12" s="49" t="s">
        <v>39</v>
      </c>
      <c r="C12" s="50" t="s">
        <v>25</v>
      </c>
      <c r="D12" s="41">
        <v>4</v>
      </c>
      <c r="E12" s="41">
        <v>1</v>
      </c>
      <c r="G12" s="49" t="s">
        <v>40</v>
      </c>
    </row>
    <row r="13" spans="1:7" ht="39.6" x14ac:dyDescent="0.25">
      <c r="A13" s="41">
        <v>9</v>
      </c>
      <c r="B13" s="49" t="s">
        <v>41</v>
      </c>
      <c r="C13" s="50" t="s">
        <v>13</v>
      </c>
      <c r="D13" s="41">
        <v>13</v>
      </c>
      <c r="E13" s="41">
        <v>3</v>
      </c>
      <c r="G13" s="49" t="s">
        <v>42</v>
      </c>
    </row>
    <row r="14" spans="1:7" ht="26.4" x14ac:dyDescent="0.25">
      <c r="A14" s="41">
        <v>10</v>
      </c>
      <c r="B14" s="49" t="s">
        <v>43</v>
      </c>
      <c r="C14" s="50" t="s">
        <v>13</v>
      </c>
      <c r="D14" s="41">
        <v>8</v>
      </c>
      <c r="E14" s="41">
        <v>2</v>
      </c>
      <c r="G14" s="49" t="s">
        <v>44</v>
      </c>
    </row>
    <row r="15" spans="1:7" ht="39.6" x14ac:dyDescent="0.25">
      <c r="A15" s="41">
        <v>11</v>
      </c>
      <c r="B15" s="49" t="s">
        <v>45</v>
      </c>
      <c r="C15" s="41" t="s">
        <v>25</v>
      </c>
      <c r="D15" s="41">
        <v>4</v>
      </c>
      <c r="E15" s="41">
        <v>1</v>
      </c>
      <c r="G15" s="49" t="s">
        <v>46</v>
      </c>
    </row>
    <row r="16" spans="1:7" ht="39.6" x14ac:dyDescent="0.25">
      <c r="A16" s="41">
        <v>12</v>
      </c>
      <c r="B16" s="49" t="s">
        <v>47</v>
      </c>
      <c r="C16" s="41" t="s">
        <v>13</v>
      </c>
      <c r="D16" s="41">
        <v>3</v>
      </c>
      <c r="E16" s="41">
        <v>2</v>
      </c>
      <c r="G16" s="49" t="s">
        <v>48</v>
      </c>
    </row>
    <row r="17" spans="1:7" ht="39.6" x14ac:dyDescent="0.25">
      <c r="A17" s="41">
        <v>13</v>
      </c>
      <c r="B17" s="49" t="s">
        <v>49</v>
      </c>
      <c r="C17" s="41" t="s">
        <v>25</v>
      </c>
      <c r="D17" s="41">
        <v>6</v>
      </c>
      <c r="E17" s="41">
        <v>1</v>
      </c>
      <c r="G17" s="49" t="s">
        <v>50</v>
      </c>
    </row>
    <row r="18" spans="1:7" ht="39.6" x14ac:dyDescent="0.25">
      <c r="A18" s="41">
        <v>14</v>
      </c>
      <c r="B18" s="49" t="s">
        <v>51</v>
      </c>
      <c r="C18" s="41" t="s">
        <v>13</v>
      </c>
      <c r="D18" s="41">
        <v>5</v>
      </c>
      <c r="E18" s="41">
        <v>2</v>
      </c>
      <c r="G18" s="49" t="s">
        <v>52</v>
      </c>
    </row>
    <row r="19" spans="1:7" ht="26.4" x14ac:dyDescent="0.25">
      <c r="A19" s="41">
        <v>15</v>
      </c>
      <c r="B19" s="49" t="s">
        <v>53</v>
      </c>
      <c r="C19" s="41" t="s">
        <v>13</v>
      </c>
      <c r="D19" s="41">
        <v>4</v>
      </c>
      <c r="E19" s="41">
        <v>2</v>
      </c>
      <c r="G19" s="49" t="s">
        <v>54</v>
      </c>
    </row>
    <row r="20" spans="1:7" ht="39.6" x14ac:dyDescent="0.25">
      <c r="A20" s="41">
        <v>16</v>
      </c>
      <c r="B20" s="49" t="s">
        <v>55</v>
      </c>
      <c r="C20" s="41" t="s">
        <v>13</v>
      </c>
      <c r="D20" s="41">
        <v>4</v>
      </c>
      <c r="E20" s="41">
        <v>2</v>
      </c>
      <c r="G20" s="49" t="s">
        <v>56</v>
      </c>
    </row>
    <row r="21" spans="1:7" ht="39.6" x14ac:dyDescent="0.25">
      <c r="A21" s="41">
        <v>17</v>
      </c>
      <c r="B21" s="49" t="s">
        <v>57</v>
      </c>
      <c r="C21" s="41" t="s">
        <v>13</v>
      </c>
      <c r="D21" s="41">
        <v>6</v>
      </c>
      <c r="E21" s="41">
        <v>3</v>
      </c>
      <c r="G21" s="49" t="s">
        <v>58</v>
      </c>
    </row>
    <row r="22" spans="1:7" ht="52.8" x14ac:dyDescent="0.25">
      <c r="A22" s="41">
        <v>18</v>
      </c>
      <c r="B22" s="49" t="s">
        <v>59</v>
      </c>
      <c r="C22" s="41" t="s">
        <v>13</v>
      </c>
      <c r="D22" s="41">
        <v>3</v>
      </c>
      <c r="E22" s="41">
        <v>3</v>
      </c>
      <c r="G22" s="49" t="s">
        <v>60</v>
      </c>
    </row>
  </sheetData>
  <conditionalFormatting sqref="G41:G49 C42:C43 G20:G38 A51:G160 B44:F49 A6:G9 A10:A49 B10:F41 G10:G18 A4:G4">
    <cfRule type="expression" dxfId="39" priority="2">
      <formula>$C4="Done"</formula>
    </cfRule>
    <cfRule type="expression" dxfId="38" priority="3">
      <formula>$C4="Ongoing"</formula>
    </cfRule>
    <cfRule type="expression" dxfId="37" priority="4">
      <formula>$C4="Removed"</formula>
    </cfRule>
  </conditionalFormatting>
  <conditionalFormatting sqref="G50">
    <cfRule type="expression" dxfId="36" priority="5">
      <formula>$C40="Done"</formula>
    </cfRule>
    <cfRule type="expression" dxfId="35" priority="6">
      <formula>$C40="Ongoing"</formula>
    </cfRule>
    <cfRule type="expression" dxfId="34" priority="7">
      <formula>$C40="Removed"</formula>
    </cfRule>
  </conditionalFormatting>
  <conditionalFormatting sqref="G39:G40">
    <cfRule type="expression" dxfId="33" priority="8">
      <formula>#REF!="Done"</formula>
    </cfRule>
    <cfRule type="expression" dxfId="32" priority="9">
      <formula>#REF!="Ongoing"</formula>
    </cfRule>
    <cfRule type="expression" dxfId="31" priority="10">
      <formula>#REF!="Removed"</formula>
    </cfRule>
  </conditionalFormatting>
  <conditionalFormatting sqref="G19">
    <cfRule type="expression" dxfId="30" priority="11">
      <formula>#REF!="Done"</formula>
    </cfRule>
    <cfRule type="expression" dxfId="29" priority="12">
      <formula>#REF!="Ongoing"</formula>
    </cfRule>
    <cfRule type="expression" dxfId="28" priority="13">
      <formula>#REF!="Removed"</formula>
    </cfRule>
  </conditionalFormatting>
  <conditionalFormatting sqref="A5:G5">
    <cfRule type="expression" dxfId="27" priority="14">
      <formula>$C5="Done"</formula>
    </cfRule>
    <cfRule type="expression" dxfId="26" priority="15">
      <formula>$C5="Ongoing"</formula>
    </cfRule>
    <cfRule type="expression" dxfId="25"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opLeftCell="A13" zoomScaleNormal="100" workbookViewId="0">
      <selection activeCell="E30" sqref="E30"/>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61</v>
      </c>
    </row>
    <row r="3" spans="1:26" x14ac:dyDescent="0.25">
      <c r="A3" t="s">
        <v>62</v>
      </c>
      <c r="D3">
        <v>102</v>
      </c>
      <c r="F3" t="s">
        <v>63</v>
      </c>
      <c r="G3" s="51">
        <f>IF(COUNT(B28:B39)=0,1,COUNT(B28:B39))</f>
        <v>3</v>
      </c>
    </row>
    <row r="4" spans="1:26" x14ac:dyDescent="0.25">
      <c r="A4" t="s">
        <v>64</v>
      </c>
      <c r="D4">
        <v>3</v>
      </c>
      <c r="E4" t="s">
        <v>65</v>
      </c>
      <c r="F4" t="s">
        <v>66</v>
      </c>
      <c r="G4" s="51">
        <f>IF(COUNT(D28:D51)=0,1,COUNT(D28:D51)+1)</f>
        <v>2</v>
      </c>
    </row>
    <row r="5" spans="1:26" x14ac:dyDescent="0.25">
      <c r="F5" t="s">
        <v>67</v>
      </c>
      <c r="G5" s="51">
        <f>IF(G4&gt;D4,G4-D4,0)</f>
        <v>0</v>
      </c>
      <c r="Z5" s="26" t="s">
        <v>68</v>
      </c>
    </row>
    <row r="6" spans="1:26" x14ac:dyDescent="0.25">
      <c r="A6" s="8" t="s">
        <v>69</v>
      </c>
      <c r="F6" t="s">
        <v>70</v>
      </c>
      <c r="G6" s="51">
        <f>TrendSprintCount-TrendOffset</f>
        <v>2</v>
      </c>
      <c r="Z6" s="26" t="s">
        <v>71</v>
      </c>
    </row>
    <row r="7" spans="1:26" x14ac:dyDescent="0.25">
      <c r="A7" t="s">
        <v>72</v>
      </c>
      <c r="D7">
        <v>30</v>
      </c>
      <c r="Z7" s="26" t="s">
        <v>73</v>
      </c>
    </row>
    <row r="8" spans="1:26" x14ac:dyDescent="0.25">
      <c r="A8" s="102">
        <f>D$4</f>
        <v>3</v>
      </c>
      <c r="B8" s="102"/>
      <c r="D8" s="52">
        <f ca="1">IF(D28="","",AVERAGE(OFFSET(D27,TrendOffset,0,SprintsInTrend,1)))</f>
        <v>47</v>
      </c>
      <c r="Z8" s="26" t="s">
        <v>74</v>
      </c>
    </row>
    <row r="9" spans="1:26" x14ac:dyDescent="0.25">
      <c r="A9" t="s">
        <v>75</v>
      </c>
      <c r="D9" s="52">
        <f ca="1">IF(D28="","",AVERAGE(OFFSET(D27,1,0,SprintCount,1)))</f>
        <v>47</v>
      </c>
      <c r="F9" t="s">
        <v>76</v>
      </c>
      <c r="G9" s="51">
        <f ca="1">IF(M28="",1,COUNT(M28:M110))</f>
        <v>4</v>
      </c>
      <c r="Z9" s="26" t="s">
        <v>77</v>
      </c>
    </row>
    <row r="10" spans="1:26" x14ac:dyDescent="0.25">
      <c r="A10" t="s">
        <v>78</v>
      </c>
      <c r="D10" s="52">
        <f ca="1">IF(D28="","",AVERAGE(LastEight))</f>
        <v>47</v>
      </c>
      <c r="Z10" s="26" t="s">
        <v>79</v>
      </c>
    </row>
    <row r="11" spans="1:26" x14ac:dyDescent="0.25">
      <c r="A11" t="s">
        <v>80</v>
      </c>
      <c r="D11" s="52">
        <f ca="1">IF(D28="","",IF(TrendSprintCount&lt;4,D10,AVERAGE(SMALL(LastEight,1),SMALL(LastEight,2),SMALL(LastEight,3))))</f>
        <v>47</v>
      </c>
      <c r="Z11" s="26" t="s">
        <v>81</v>
      </c>
    </row>
    <row r="12" spans="1:26" x14ac:dyDescent="0.25">
      <c r="A12" t="s">
        <v>82</v>
      </c>
      <c r="D12" s="52">
        <f ca="1">IF(M29="","",M28-M29)</f>
        <v>47</v>
      </c>
      <c r="Z12" s="26" t="s">
        <v>83</v>
      </c>
    </row>
    <row r="13" spans="1:26" x14ac:dyDescent="0.25">
      <c r="F13" s="53" t="s">
        <v>84</v>
      </c>
      <c r="Z13" s="26" t="s">
        <v>85</v>
      </c>
    </row>
    <row r="14" spans="1:26" x14ac:dyDescent="0.25">
      <c r="A14" s="8" t="s">
        <v>86</v>
      </c>
    </row>
    <row r="15" spans="1:26" x14ac:dyDescent="0.25">
      <c r="A15" t="s">
        <v>87</v>
      </c>
      <c r="D15" s="54">
        <f>IF(D7="",0,ROUNDUP(D3/D7*0.6,0))</f>
        <v>3</v>
      </c>
    </row>
    <row r="16" spans="1:26" x14ac:dyDescent="0.25">
      <c r="A16" t="s">
        <v>88</v>
      </c>
      <c r="D16" s="54">
        <f>IF(D7="",0,ROUNDUP(D3/D7,0))</f>
        <v>4</v>
      </c>
    </row>
    <row r="17" spans="1:17" x14ac:dyDescent="0.25">
      <c r="A17" t="s">
        <v>89</v>
      </c>
      <c r="D17" s="54">
        <f>IF(D7="",0,ROUNDUP(D3/D7*1.6,0))</f>
        <v>6</v>
      </c>
      <c r="F17" t="s">
        <v>90</v>
      </c>
      <c r="G17">
        <f>IF(OR(D28="",D29=""),1,STDEV(D28:D51))</f>
        <v>1</v>
      </c>
    </row>
    <row r="18" spans="1:17" x14ac:dyDescent="0.25">
      <c r="A18" s="102">
        <f>D$4</f>
        <v>3</v>
      </c>
      <c r="B18" s="102"/>
      <c r="D18" s="54">
        <f ca="1">IF(D8="","",IF(LastRealized="",ROUNDUP(LastPlanned/D8,0)+SprintCount-1,ROUNDUP((LastPlanned-LastRealized)/D8+SprintCount,0)))</f>
        <v>3</v>
      </c>
    </row>
    <row r="19" spans="1:17" x14ac:dyDescent="0.25">
      <c r="A19" t="s">
        <v>91</v>
      </c>
      <c r="D19" s="54">
        <f ca="1">IF(D9="","",IF(LastRealized="",ROUNDUP(LastPlanned/D9+SprintCount-1,0),ROUNDUP((LastPlanned-LastRealized)/D9,0)+SprintCount))</f>
        <v>3</v>
      </c>
      <c r="F19" t="s">
        <v>92</v>
      </c>
      <c r="G19">
        <f ca="1">LastPlanned</f>
        <v>44</v>
      </c>
    </row>
    <row r="20" spans="1:17" x14ac:dyDescent="0.25">
      <c r="A20" t="s">
        <v>78</v>
      </c>
      <c r="D20" s="54">
        <f ca="1">IF(D10="","",IF(LastRealized="",ROUNDUP(LastPlanned/D10+SprintCount-1,0),ROUNDUP((LastPlanned-LastRealized)/D10,0)+SprintCount))</f>
        <v>3</v>
      </c>
      <c r="F20" t="s">
        <v>93</v>
      </c>
      <c r="G20">
        <f ca="1">LastRealized</f>
        <v>0</v>
      </c>
    </row>
    <row r="21" spans="1:17" x14ac:dyDescent="0.25">
      <c r="A21" t="s">
        <v>80</v>
      </c>
      <c r="D21" s="54">
        <f ca="1">IF(D11="","",IF(LastRealized="",ROUNDUP(LastPlanned/D11+SprintCount-1,0),ROUNDUP((LastPlanned-LastRealized)/D11,0)+SprintCount))</f>
        <v>3</v>
      </c>
    </row>
    <row r="22" spans="1:17" x14ac:dyDescent="0.25">
      <c r="A22" t="s">
        <v>82</v>
      </c>
      <c r="D22" s="54">
        <f ca="1">IF(COUNT(M28:M51)-1&gt;0,COUNT(M28:M51)-1,"")</f>
        <v>3</v>
      </c>
    </row>
    <row r="23" spans="1:17" x14ac:dyDescent="0.25">
      <c r="A23" t="s">
        <v>94</v>
      </c>
      <c r="D23" s="54">
        <f ca="1">IF(D9="","",IF(LastRealized="",ROUNDUP(LastPlanned/(D9+G17)+SprintCount-1,0),ROUNDUP((LastPlanned-LastRealized)/(D9+G17)+SprintCount,0)))</f>
        <v>3</v>
      </c>
    </row>
    <row r="24" spans="1:17" x14ac:dyDescent="0.25">
      <c r="A24" t="s">
        <v>95</v>
      </c>
      <c r="D24" s="54">
        <f ca="1">IF(D9="","",IF(LastRealized="",ROUNDUP(LastPlanned/(D9-G17)+SprintCount-1,0),ROUNDUP((LastPlanned-LastRealized)/(D9-G17)+SprintCount,0)))</f>
        <v>3</v>
      </c>
    </row>
    <row r="26" spans="1:17" ht="12.75" customHeight="1" x14ac:dyDescent="0.25">
      <c r="F26" s="103" t="s">
        <v>82</v>
      </c>
      <c r="G26" s="103"/>
      <c r="H26" s="103"/>
      <c r="I26" s="103"/>
      <c r="J26" s="103"/>
      <c r="K26" s="103"/>
      <c r="L26" s="103"/>
      <c r="M26" s="103"/>
      <c r="N26" s="103"/>
      <c r="O26" s="103" t="s">
        <v>96</v>
      </c>
      <c r="P26" s="103"/>
      <c r="Q26" s="103"/>
    </row>
    <row r="27" spans="1:17" s="61" customFormat="1" ht="27" customHeight="1" x14ac:dyDescent="0.25">
      <c r="A27" s="56" t="s">
        <v>11</v>
      </c>
      <c r="B27" s="57" t="s">
        <v>97</v>
      </c>
      <c r="C27" s="57" t="s">
        <v>98</v>
      </c>
      <c r="D27" s="58" t="s">
        <v>99</v>
      </c>
      <c r="E27" s="58" t="s">
        <v>100</v>
      </c>
      <c r="F27" s="55" t="s">
        <v>101</v>
      </c>
      <c r="G27" s="104" t="s">
        <v>102</v>
      </c>
      <c r="H27" s="104"/>
      <c r="I27" s="55" t="s">
        <v>103</v>
      </c>
      <c r="J27" s="59"/>
      <c r="K27" s="55" t="s">
        <v>104</v>
      </c>
      <c r="L27" s="55" t="s">
        <v>105</v>
      </c>
      <c r="M27" s="55" t="s">
        <v>106</v>
      </c>
      <c r="N27" s="60" t="s">
        <v>107</v>
      </c>
      <c r="O27" s="55" t="s">
        <v>108</v>
      </c>
      <c r="P27" s="55" t="s">
        <v>109</v>
      </c>
      <c r="Q27" s="55" t="s">
        <v>110</v>
      </c>
    </row>
    <row r="28" spans="1:17" x14ac:dyDescent="0.25">
      <c r="A28" s="62">
        <v>1</v>
      </c>
      <c r="B28" s="1">
        <v>124</v>
      </c>
      <c r="C28" s="1">
        <v>40</v>
      </c>
      <c r="D28" s="1">
        <v>47</v>
      </c>
      <c r="E28" s="62">
        <v>131</v>
      </c>
      <c r="F28" s="51">
        <f>B28</f>
        <v>124</v>
      </c>
      <c r="G28" s="51">
        <f t="shared" ref="G28:G51" si="0">F28</f>
        <v>124</v>
      </c>
      <c r="H28" s="51">
        <f t="shared" ref="H28:H51" si="1">I28</f>
        <v>0</v>
      </c>
      <c r="I28" s="51">
        <v>0</v>
      </c>
      <c r="K28">
        <f t="shared" ref="K28:K51" si="2">IF(F28&lt;I28,I28,F28)</f>
        <v>124</v>
      </c>
      <c r="L28" s="51">
        <f t="shared" ref="L28:L51" ca="1" si="3">IF(TREND(OFFSET($K$27,TrendOffset+1,0,SprintsInTrend,1),OFFSET($A$27,TrendOffset+1,0,SprintsInTrend,1),A28)&lt;N28,N28,TREND(OFFSET($K$27,TrendOffset+1,0,SprintsInTrend,1),OFFSET($A$27,TrendOffset+1,0,SprintsInTrend,1),A28))</f>
        <v>124</v>
      </c>
      <c r="M28" s="51">
        <f ca="1">L28</f>
        <v>124</v>
      </c>
      <c r="N28" s="51">
        <f t="shared" ref="N28:N51" ca="1" si="4">OFFSET($I$27,TrendSprintCount,0,1,1)</f>
        <v>-7</v>
      </c>
      <c r="O28" s="63">
        <f t="shared" ref="O28:O51" ca="1" si="5">D$9</f>
        <v>47</v>
      </c>
      <c r="P28" s="63">
        <f t="shared" ref="P28:P51" ca="1" si="6">D$10</f>
        <v>47</v>
      </c>
      <c r="Q28" s="63">
        <f t="shared" ref="Q28:Q51" ca="1" si="7">D$11</f>
        <v>47</v>
      </c>
    </row>
    <row r="29" spans="1:17" x14ac:dyDescent="0.25">
      <c r="A29" s="62">
        <v>2</v>
      </c>
      <c r="B29" s="1">
        <v>84</v>
      </c>
      <c r="C29" s="1">
        <v>44</v>
      </c>
      <c r="D29" s="1"/>
      <c r="E29" s="62">
        <v>84</v>
      </c>
      <c r="F29" s="51">
        <f t="shared" ref="F29:F51" si="8">IF(B29="",IF(B28="","",IF(D28="","",I28)),IF(AND(D28="",C28=""),"",IF(AND(D28="",C28&lt;&gt;""),IF(I28&gt;F28,F28,I28),F28-D28)))</f>
        <v>77</v>
      </c>
      <c r="G29" s="51">
        <f t="shared" si="0"/>
        <v>77</v>
      </c>
      <c r="H29" s="51">
        <f t="shared" si="1"/>
        <v>-7</v>
      </c>
      <c r="I29" s="51">
        <f>IF(B29="",IF(B28="","",IF(D28="","",F28-D28)),IF(AND(C28="",D28=""),"",IF(AND(D28="",C28&lt;&gt;""),IF(I28&gt;F28,I28-C28,F28-C28),B$28-B29-SUM(D$28:D28))))</f>
        <v>-7</v>
      </c>
      <c r="K29">
        <f t="shared" si="2"/>
        <v>77</v>
      </c>
      <c r="L29" s="51">
        <f t="shared" ca="1" si="3"/>
        <v>77</v>
      </c>
      <c r="M29" s="51">
        <f t="shared" ref="M29:M51" ca="1" si="9">IF(L29=L28,"",L29)</f>
        <v>77</v>
      </c>
      <c r="N29" s="51">
        <f t="shared" ca="1" si="4"/>
        <v>-7</v>
      </c>
      <c r="O29" s="63">
        <f t="shared" ca="1" si="5"/>
        <v>47</v>
      </c>
      <c r="P29" s="63">
        <f t="shared" ca="1" si="6"/>
        <v>47</v>
      </c>
      <c r="Q29" s="63">
        <f t="shared" ca="1" si="7"/>
        <v>47</v>
      </c>
    </row>
    <row r="30" spans="1:17" x14ac:dyDescent="0.25">
      <c r="A30" s="62">
        <v>3</v>
      </c>
      <c r="B30" s="1">
        <v>44</v>
      </c>
      <c r="C30" s="1">
        <v>40</v>
      </c>
      <c r="D30" s="1"/>
      <c r="E30" s="62">
        <v>44</v>
      </c>
      <c r="F30" s="51">
        <f t="shared" si="8"/>
        <v>-7</v>
      </c>
      <c r="G30" s="51">
        <f t="shared" si="0"/>
        <v>-7</v>
      </c>
      <c r="H30" s="51">
        <f t="shared" si="1"/>
        <v>33</v>
      </c>
      <c r="I30" s="51">
        <f>IF(B30="",IF(B29="","",IF(D29="","",F29-D29)),IF(AND(C29="",D29=""),"",IF(AND(D29="",C29&lt;&gt;""),IF(I29&gt;F29,I29-C29,F29-C29),B$28-B30-SUM(D$28:D29))))</f>
        <v>33</v>
      </c>
      <c r="K30">
        <f t="shared" si="2"/>
        <v>33</v>
      </c>
      <c r="L30" s="51">
        <f t="shared" ca="1" si="3"/>
        <v>30</v>
      </c>
      <c r="M30" s="51">
        <f t="shared" ca="1" si="9"/>
        <v>30</v>
      </c>
      <c r="N30" s="51">
        <f t="shared" ca="1" si="4"/>
        <v>-7</v>
      </c>
      <c r="O30" s="63">
        <f t="shared" ca="1" si="5"/>
        <v>47</v>
      </c>
      <c r="P30" s="63">
        <f t="shared" ca="1" si="6"/>
        <v>47</v>
      </c>
      <c r="Q30" s="63">
        <f t="shared" ca="1" si="7"/>
        <v>47</v>
      </c>
    </row>
    <row r="31" spans="1:17" x14ac:dyDescent="0.25">
      <c r="A31" s="62">
        <v>4</v>
      </c>
      <c r="B31" s="1"/>
      <c r="C31" s="1"/>
      <c r="D31" s="1"/>
      <c r="E31" s="62" t="str">
        <f>IF(B31="","",IF(D30="",E30,B31+SUM(D$28:D30)))</f>
        <v/>
      </c>
      <c r="F31" s="51" t="str">
        <f t="shared" si="8"/>
        <v/>
      </c>
      <c r="G31" s="51" t="str">
        <f t="shared" si="0"/>
        <v/>
      </c>
      <c r="H31" s="51" t="str">
        <f t="shared" si="1"/>
        <v/>
      </c>
      <c r="I31" s="51" t="str">
        <f>IF(B31="",IF(B30="","",IF(D30="","",F30-D30)),IF(AND(C30="",D30=""),"",IF(AND(D30="",C30&lt;&gt;""),IF(I30&gt;F30,I30-C30,F30-C30),B$28-B31-SUM(D$28:D30))))</f>
        <v/>
      </c>
      <c r="K31" t="str">
        <f t="shared" si="2"/>
        <v/>
      </c>
      <c r="L31" s="51">
        <f t="shared" ca="1" si="3"/>
        <v>-7</v>
      </c>
      <c r="M31" s="51">
        <f t="shared" ca="1" si="9"/>
        <v>-7</v>
      </c>
      <c r="N31" s="51">
        <f t="shared" ca="1" si="4"/>
        <v>-7</v>
      </c>
      <c r="O31" s="63">
        <f t="shared" ca="1" si="5"/>
        <v>47</v>
      </c>
      <c r="P31" s="63">
        <f t="shared" ca="1" si="6"/>
        <v>47</v>
      </c>
      <c r="Q31" s="63">
        <f t="shared" ca="1" si="7"/>
        <v>47</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-7</v>
      </c>
      <c r="M32" s="51" t="str">
        <f t="shared" ca="1" si="9"/>
        <v/>
      </c>
      <c r="N32" s="51">
        <f t="shared" ca="1" si="4"/>
        <v>-7</v>
      </c>
      <c r="O32" s="63">
        <f t="shared" ca="1" si="5"/>
        <v>47</v>
      </c>
      <c r="P32" s="63">
        <f t="shared" ca="1" si="6"/>
        <v>47</v>
      </c>
      <c r="Q32" s="63">
        <f t="shared" ca="1" si="7"/>
        <v>47</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-7</v>
      </c>
      <c r="M33" s="51" t="str">
        <f t="shared" ca="1" si="9"/>
        <v/>
      </c>
      <c r="N33" s="51">
        <f t="shared" ca="1" si="4"/>
        <v>-7</v>
      </c>
      <c r="O33" s="63">
        <f t="shared" ca="1" si="5"/>
        <v>47</v>
      </c>
      <c r="P33" s="63">
        <f t="shared" ca="1" si="6"/>
        <v>47</v>
      </c>
      <c r="Q33" s="63">
        <f t="shared" ca="1" si="7"/>
        <v>47</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-7</v>
      </c>
      <c r="M34" s="51" t="str">
        <f t="shared" ca="1" si="9"/>
        <v/>
      </c>
      <c r="N34" s="51">
        <f t="shared" ca="1" si="4"/>
        <v>-7</v>
      </c>
      <c r="O34" s="63">
        <f t="shared" ca="1" si="5"/>
        <v>47</v>
      </c>
      <c r="P34" s="63">
        <f t="shared" ca="1" si="6"/>
        <v>47</v>
      </c>
      <c r="Q34" s="63">
        <f t="shared" ca="1" si="7"/>
        <v>47</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-7</v>
      </c>
      <c r="M35" s="51" t="str">
        <f t="shared" ca="1" si="9"/>
        <v/>
      </c>
      <c r="N35" s="51">
        <f t="shared" ca="1" si="4"/>
        <v>-7</v>
      </c>
      <c r="O35" s="63">
        <f t="shared" ca="1" si="5"/>
        <v>47</v>
      </c>
      <c r="P35" s="63">
        <f t="shared" ca="1" si="6"/>
        <v>47</v>
      </c>
      <c r="Q35" s="63">
        <f t="shared" ca="1" si="7"/>
        <v>47</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-7</v>
      </c>
      <c r="M36" s="51" t="str">
        <f t="shared" ca="1" si="9"/>
        <v/>
      </c>
      <c r="N36" s="51">
        <f t="shared" ca="1" si="4"/>
        <v>-7</v>
      </c>
      <c r="O36" s="63">
        <f t="shared" ca="1" si="5"/>
        <v>47</v>
      </c>
      <c r="P36" s="63">
        <f t="shared" ca="1" si="6"/>
        <v>47</v>
      </c>
      <c r="Q36" s="63">
        <f t="shared" ca="1" si="7"/>
        <v>47</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-7</v>
      </c>
      <c r="M37" s="51" t="str">
        <f t="shared" ca="1" si="9"/>
        <v/>
      </c>
      <c r="N37" s="51">
        <f t="shared" ca="1" si="4"/>
        <v>-7</v>
      </c>
      <c r="O37" s="63">
        <f t="shared" ca="1" si="5"/>
        <v>47</v>
      </c>
      <c r="P37" s="63">
        <f t="shared" ca="1" si="6"/>
        <v>47</v>
      </c>
      <c r="Q37" s="63">
        <f t="shared" ca="1" si="7"/>
        <v>47</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-7</v>
      </c>
      <c r="M38" s="51" t="str">
        <f t="shared" ca="1" si="9"/>
        <v/>
      </c>
      <c r="N38" s="51">
        <f t="shared" ca="1" si="4"/>
        <v>-7</v>
      </c>
      <c r="O38" s="63">
        <f t="shared" ca="1" si="5"/>
        <v>47</v>
      </c>
      <c r="P38" s="63">
        <f t="shared" ca="1" si="6"/>
        <v>47</v>
      </c>
      <c r="Q38" s="63">
        <f t="shared" ca="1" si="7"/>
        <v>47</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-7</v>
      </c>
      <c r="M39" s="51" t="str">
        <f t="shared" ca="1" si="9"/>
        <v/>
      </c>
      <c r="N39" s="51">
        <f t="shared" ca="1" si="4"/>
        <v>-7</v>
      </c>
      <c r="O39" s="63">
        <f t="shared" ca="1" si="5"/>
        <v>47</v>
      </c>
      <c r="P39" s="63">
        <f t="shared" ca="1" si="6"/>
        <v>47</v>
      </c>
      <c r="Q39" s="63">
        <f t="shared" ca="1" si="7"/>
        <v>47</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-7</v>
      </c>
      <c r="M40" s="51" t="str">
        <f t="shared" ca="1" si="9"/>
        <v/>
      </c>
      <c r="N40" s="51">
        <f t="shared" ca="1" si="4"/>
        <v>-7</v>
      </c>
      <c r="O40" s="63">
        <f t="shared" ca="1" si="5"/>
        <v>47</v>
      </c>
      <c r="P40" s="63">
        <f t="shared" ca="1" si="6"/>
        <v>47</v>
      </c>
      <c r="Q40" s="63">
        <f t="shared" ca="1" si="7"/>
        <v>47</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-7</v>
      </c>
      <c r="M41" s="51" t="str">
        <f t="shared" ca="1" si="9"/>
        <v/>
      </c>
      <c r="N41" s="51">
        <f t="shared" ca="1" si="4"/>
        <v>-7</v>
      </c>
      <c r="O41" s="63">
        <f t="shared" ca="1" si="5"/>
        <v>47</v>
      </c>
      <c r="P41" s="63">
        <f t="shared" ca="1" si="6"/>
        <v>47</v>
      </c>
      <c r="Q41" s="63">
        <f t="shared" ca="1" si="7"/>
        <v>47</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-7</v>
      </c>
      <c r="M42" s="51" t="str">
        <f t="shared" ca="1" si="9"/>
        <v/>
      </c>
      <c r="N42" s="51">
        <f t="shared" ca="1" si="4"/>
        <v>-7</v>
      </c>
      <c r="O42" s="63">
        <f t="shared" ca="1" si="5"/>
        <v>47</v>
      </c>
      <c r="P42" s="63">
        <f t="shared" ca="1" si="6"/>
        <v>47</v>
      </c>
      <c r="Q42" s="63">
        <f t="shared" ca="1" si="7"/>
        <v>47</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-7</v>
      </c>
      <c r="M43" s="51" t="str">
        <f t="shared" ca="1" si="9"/>
        <v/>
      </c>
      <c r="N43" s="51">
        <f t="shared" ca="1" si="4"/>
        <v>-7</v>
      </c>
      <c r="O43" s="63">
        <f t="shared" ca="1" si="5"/>
        <v>47</v>
      </c>
      <c r="P43" s="63">
        <f t="shared" ca="1" si="6"/>
        <v>47</v>
      </c>
      <c r="Q43" s="63">
        <f t="shared" ca="1" si="7"/>
        <v>47</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-7</v>
      </c>
      <c r="M44" s="51" t="str">
        <f t="shared" ca="1" si="9"/>
        <v/>
      </c>
      <c r="N44" s="51">
        <f t="shared" ca="1" si="4"/>
        <v>-7</v>
      </c>
      <c r="O44" s="63">
        <f t="shared" ca="1" si="5"/>
        <v>47</v>
      </c>
      <c r="P44" s="63">
        <f t="shared" ca="1" si="6"/>
        <v>47</v>
      </c>
      <c r="Q44" s="63">
        <f t="shared" ca="1" si="7"/>
        <v>47</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-7</v>
      </c>
      <c r="M45" s="51" t="str">
        <f t="shared" ca="1" si="9"/>
        <v/>
      </c>
      <c r="N45" s="51">
        <f t="shared" ca="1" si="4"/>
        <v>-7</v>
      </c>
      <c r="O45" s="63">
        <f t="shared" ca="1" si="5"/>
        <v>47</v>
      </c>
      <c r="P45" s="63">
        <f t="shared" ca="1" si="6"/>
        <v>47</v>
      </c>
      <c r="Q45" s="63">
        <f t="shared" ca="1" si="7"/>
        <v>47</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-7</v>
      </c>
      <c r="M46" s="51" t="str">
        <f t="shared" ca="1" si="9"/>
        <v/>
      </c>
      <c r="N46" s="51">
        <f t="shared" ca="1" si="4"/>
        <v>-7</v>
      </c>
      <c r="O46" s="63">
        <f t="shared" ca="1" si="5"/>
        <v>47</v>
      </c>
      <c r="P46" s="63">
        <f t="shared" ca="1" si="6"/>
        <v>47</v>
      </c>
      <c r="Q46" s="63">
        <f t="shared" ca="1" si="7"/>
        <v>47</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-7</v>
      </c>
      <c r="M47" s="51" t="str">
        <f t="shared" ca="1" si="9"/>
        <v/>
      </c>
      <c r="N47" s="51">
        <f t="shared" ca="1" si="4"/>
        <v>-7</v>
      </c>
      <c r="O47" s="63">
        <f t="shared" ca="1" si="5"/>
        <v>47</v>
      </c>
      <c r="P47" s="63">
        <f t="shared" ca="1" si="6"/>
        <v>47</v>
      </c>
      <c r="Q47" s="63">
        <f t="shared" ca="1" si="7"/>
        <v>47</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-7</v>
      </c>
      <c r="M48" s="51" t="str">
        <f t="shared" ca="1" si="9"/>
        <v/>
      </c>
      <c r="N48" s="51">
        <f t="shared" ca="1" si="4"/>
        <v>-7</v>
      </c>
      <c r="O48" s="63">
        <f t="shared" ca="1" si="5"/>
        <v>47</v>
      </c>
      <c r="P48" s="63">
        <f t="shared" ca="1" si="6"/>
        <v>47</v>
      </c>
      <c r="Q48" s="63">
        <f t="shared" ca="1" si="7"/>
        <v>47</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-7</v>
      </c>
      <c r="M49" s="51" t="str">
        <f t="shared" ca="1" si="9"/>
        <v/>
      </c>
      <c r="N49" s="51">
        <f t="shared" ca="1" si="4"/>
        <v>-7</v>
      </c>
      <c r="O49" s="63">
        <f t="shared" ca="1" si="5"/>
        <v>47</v>
      </c>
      <c r="P49" s="63">
        <f t="shared" ca="1" si="6"/>
        <v>47</v>
      </c>
      <c r="Q49" s="63">
        <f t="shared" ca="1" si="7"/>
        <v>47</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-7</v>
      </c>
      <c r="M50" s="51" t="str">
        <f t="shared" ca="1" si="9"/>
        <v/>
      </c>
      <c r="N50" s="51">
        <f t="shared" ca="1" si="4"/>
        <v>-7</v>
      </c>
      <c r="O50" s="63">
        <f t="shared" ca="1" si="5"/>
        <v>47</v>
      </c>
      <c r="P50" s="63">
        <f t="shared" ca="1" si="6"/>
        <v>47</v>
      </c>
      <c r="Q50" s="63">
        <f t="shared" ca="1" si="7"/>
        <v>47</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-7</v>
      </c>
      <c r="M51" s="51" t="str">
        <f t="shared" ca="1" si="9"/>
        <v/>
      </c>
      <c r="N51" s="51">
        <f t="shared" ca="1" si="4"/>
        <v>-7</v>
      </c>
      <c r="O51" s="63">
        <f t="shared" ca="1" si="5"/>
        <v>47</v>
      </c>
      <c r="P51" s="63">
        <f t="shared" ca="1" si="6"/>
        <v>47</v>
      </c>
      <c r="Q51" s="63">
        <f t="shared" ca="1" si="7"/>
        <v>47</v>
      </c>
    </row>
  </sheetData>
  <mergeCells count="5">
    <mergeCell ref="A8:B8"/>
    <mergeCell ref="A18:B18"/>
    <mergeCell ref="F26:N26"/>
    <mergeCell ref="O26:Q26"/>
    <mergeCell ref="G27:H27"/>
  </mergeCells>
  <conditionalFormatting sqref="K27:N27 A27:G27 F26 I27 O26:O27 P27:Q27">
    <cfRule type="expression" dxfId="24" priority="2">
      <formula>$D26="Done"</formula>
    </cfRule>
    <cfRule type="expression" dxfId="23" priority="3">
      <formula>$D26="Ongoing"</formula>
    </cfRule>
    <cfRule type="expression" dxfId="22"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zoomScaleNormal="100" workbookViewId="0">
      <pane ySplit="14" topLeftCell="A15" activePane="bottomLeft" state="frozen"/>
      <selection pane="bottomLeft" activeCell="C17" sqref="C17"/>
    </sheetView>
  </sheetViews>
  <sheetFormatPr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111</v>
      </c>
      <c r="B9" s="41">
        <v>14</v>
      </c>
      <c r="C9" s="66"/>
      <c r="D9" s="67"/>
      <c r="E9" s="66" t="s">
        <v>112</v>
      </c>
      <c r="F9" s="66" t="s">
        <v>113</v>
      </c>
      <c r="G9" s="66"/>
      <c r="H9" s="66"/>
      <c r="I9" s="66"/>
      <c r="J9" s="66"/>
      <c r="K9" s="66"/>
      <c r="L9" s="66"/>
      <c r="M9" s="67"/>
      <c r="N9" s="67"/>
      <c r="O9" s="67"/>
      <c r="P9" s="67"/>
      <c r="Q9" s="67"/>
      <c r="R9" s="67"/>
      <c r="S9" s="67"/>
      <c r="T9" s="67"/>
      <c r="U9" s="67"/>
      <c r="V9" s="67"/>
      <c r="W9" s="67"/>
      <c r="X9" s="67"/>
      <c r="Y9" s="67"/>
      <c r="Z9" s="67"/>
      <c r="AA9" s="67"/>
      <c r="AB9" s="67"/>
      <c r="AC9" s="67"/>
      <c r="AD9" s="67"/>
    </row>
    <row r="10" spans="1:30" x14ac:dyDescent="0.25">
      <c r="A10" s="66" t="s">
        <v>114</v>
      </c>
      <c r="B10" s="41">
        <v>14</v>
      </c>
      <c r="C10" s="66" t="s">
        <v>3</v>
      </c>
      <c r="D10" s="66" t="s">
        <v>115</v>
      </c>
      <c r="E10" s="68">
        <f ca="1">SUM(OFFSET(E14,1,0,TaskRows,1))</f>
        <v>40</v>
      </c>
      <c r="F10" s="68">
        <f ca="1">IF(AND(SUM(OFFSET(F14,1,0,TaskRows,1))=0),0,SUM(OFFSET(F14,1,0,TaskRows,1)))</f>
        <v>37</v>
      </c>
      <c r="G10" s="68">
        <f t="shared" ref="G10:AD10" ca="1" si="0">IF(AND(SUM(OFFSET(G14,1,0,TaskRows,1))=0),"",SUM(OFFSET(G14,1,0,TaskRows,1)))</f>
        <v>34</v>
      </c>
      <c r="H10" s="68">
        <f t="shared" ca="1" si="0"/>
        <v>31</v>
      </c>
      <c r="I10" s="68">
        <f t="shared" ca="1" si="0"/>
        <v>26</v>
      </c>
      <c r="J10" s="68">
        <f t="shared" ca="1" si="0"/>
        <v>25</v>
      </c>
      <c r="K10" s="68">
        <f t="shared" ca="1" si="0"/>
        <v>24</v>
      </c>
      <c r="L10" s="68">
        <f t="shared" ca="1" si="0"/>
        <v>21</v>
      </c>
      <c r="M10" s="68">
        <f t="shared" ca="1" si="0"/>
        <v>20</v>
      </c>
      <c r="N10" s="68">
        <f t="shared" ca="1" si="0"/>
        <v>20</v>
      </c>
      <c r="O10" s="68">
        <f t="shared" ca="1" si="0"/>
        <v>18</v>
      </c>
      <c r="P10" s="68">
        <f t="shared" ca="1" si="0"/>
        <v>15</v>
      </c>
      <c r="Q10" s="68">
        <f t="shared" ca="1" si="0"/>
        <v>14</v>
      </c>
      <c r="R10" s="68">
        <f t="shared" ca="1" si="0"/>
        <v>13</v>
      </c>
      <c r="S10" s="68">
        <f t="shared" ca="1" si="0"/>
        <v>7</v>
      </c>
      <c r="T10" s="68" t="str">
        <f t="shared" ca="1" si="0"/>
        <v/>
      </c>
      <c r="U10" s="68" t="str">
        <f t="shared" ca="1" si="0"/>
        <v/>
      </c>
      <c r="V10" s="68" t="str">
        <f t="shared" ca="1" si="0"/>
        <v/>
      </c>
      <c r="W10" s="68" t="str">
        <f t="shared" ca="1" si="0"/>
        <v/>
      </c>
      <c r="X10" s="68" t="str">
        <f t="shared" ca="1" si="0"/>
        <v/>
      </c>
      <c r="Y10" s="68" t="str">
        <f t="shared" ca="1" si="0"/>
        <v/>
      </c>
      <c r="Z10" s="68" t="str">
        <f t="shared" ca="1" si="0"/>
        <v/>
      </c>
      <c r="AA10" s="68" t="str">
        <f t="shared" ca="1" si="0"/>
        <v/>
      </c>
      <c r="AB10" s="68" t="str">
        <f t="shared" ca="1" si="0"/>
        <v/>
      </c>
      <c r="AC10" s="68" t="str">
        <f t="shared" ca="1" si="0"/>
        <v/>
      </c>
      <c r="AD10" s="68" t="str">
        <f t="shared" ca="1" si="0"/>
        <v/>
      </c>
    </row>
    <row r="11" spans="1:30" hidden="1" x14ac:dyDescent="0.25">
      <c r="A11" s="43" t="s">
        <v>116</v>
      </c>
      <c r="B11" s="1">
        <f>IF(COUNTA(A15:A242)=0,1,COUNTA(A15:A242))</f>
        <v>6</v>
      </c>
      <c r="C11" s="43" t="s">
        <v>117</v>
      </c>
      <c r="D11" s="1">
        <f ca="1">IF(COUNTIF(F10:AD10,"&gt;0")=0,1,COUNTIF(F10:AD10,"&gt;0"))</f>
        <v>14</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118</v>
      </c>
      <c r="C12" s="43" t="s">
        <v>82</v>
      </c>
      <c r="D12" s="1"/>
      <c r="E12" s="1"/>
      <c r="F12" s="1">
        <f t="shared" ref="F12:AD12" ca="1" si="2">IF(TREND(OFFSET($F10,0,DoneDays-TrendDays,1,TrendDays),OFFSET($F13,0,DoneDays-TrendDays,1,TrendDays),F13)&lt;0,"",TREND(OFFSET($F10,0,DoneDays-TrendDays,1,TrendDays),OFFSET($F13,0,DoneDays-TrendDays,1,TrendDays),F13))</f>
        <v>34.628571428571426</v>
      </c>
      <c r="G12" s="1">
        <f t="shared" ca="1" si="2"/>
        <v>32.652747252747254</v>
      </c>
      <c r="H12" s="1">
        <f t="shared" ca="1" si="2"/>
        <v>30.676923076923075</v>
      </c>
      <c r="I12" s="1">
        <f t="shared" ca="1" si="2"/>
        <v>28.701098901098902</v>
      </c>
      <c r="J12" s="1">
        <f t="shared" ca="1" si="2"/>
        <v>26.725274725274723</v>
      </c>
      <c r="K12" s="1">
        <f t="shared" ca="1" si="2"/>
        <v>24.749450549450547</v>
      </c>
      <c r="L12" s="1">
        <f t="shared" ca="1" si="2"/>
        <v>22.773626373626371</v>
      </c>
      <c r="M12" s="1">
        <f t="shared" ca="1" si="2"/>
        <v>20.797802197802195</v>
      </c>
      <c r="N12" s="1">
        <f t="shared" ca="1" si="2"/>
        <v>18.821978021978019</v>
      </c>
      <c r="O12" s="1">
        <f t="shared" ca="1" si="2"/>
        <v>16.846153846153843</v>
      </c>
      <c r="P12" s="1">
        <f t="shared" ca="1" si="2"/>
        <v>14.870329670329667</v>
      </c>
      <c r="Q12" s="1">
        <f t="shared" ca="1" si="2"/>
        <v>12.894505494505488</v>
      </c>
      <c r="R12" s="1">
        <f t="shared" ca="1" si="2"/>
        <v>10.918681318681312</v>
      </c>
      <c r="S12" s="1">
        <f t="shared" ca="1" si="2"/>
        <v>8.942857142857136</v>
      </c>
      <c r="T12" s="1">
        <f t="shared" ca="1" si="2"/>
        <v>6.96703296703296</v>
      </c>
      <c r="U12" s="1">
        <f t="shared" ca="1" si="2"/>
        <v>4.9912087912087841</v>
      </c>
      <c r="V12" s="1">
        <f t="shared" ca="1" si="2"/>
        <v>3.0153846153846047</v>
      </c>
      <c r="W12" s="1">
        <f t="shared" ca="1" si="2"/>
        <v>1.0395604395604323</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119</v>
      </c>
      <c r="C13" s="43" t="s">
        <v>120</v>
      </c>
      <c r="D13" s="1">
        <f ca="1">IF(DoneDays&gt;B10,B10,DoneDays)</f>
        <v>14</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121</v>
      </c>
      <c r="B14" s="69" t="s">
        <v>20</v>
      </c>
      <c r="C14" s="66" t="s">
        <v>122</v>
      </c>
      <c r="D14" s="66" t="s">
        <v>6</v>
      </c>
      <c r="E14" s="69" t="s">
        <v>123</v>
      </c>
      <c r="F14" s="69">
        <v>1</v>
      </c>
      <c r="G14" s="69">
        <f t="shared" ref="G14:AD14" si="3">IF($B$9&gt;F14,F14+1,"")</f>
        <v>2</v>
      </c>
      <c r="H14" s="69">
        <f t="shared" si="3"/>
        <v>3</v>
      </c>
      <c r="I14" s="69">
        <f t="shared" si="3"/>
        <v>4</v>
      </c>
      <c r="J14" s="69">
        <f t="shared" si="3"/>
        <v>5</v>
      </c>
      <c r="K14" s="69">
        <f t="shared" si="3"/>
        <v>6</v>
      </c>
      <c r="L14" s="69">
        <f t="shared" si="3"/>
        <v>7</v>
      </c>
      <c r="M14" s="69">
        <f t="shared" si="3"/>
        <v>8</v>
      </c>
      <c r="N14" s="69">
        <f t="shared" si="3"/>
        <v>9</v>
      </c>
      <c r="O14" s="69">
        <f t="shared" si="3"/>
        <v>10</v>
      </c>
      <c r="P14" s="69">
        <f t="shared" si="3"/>
        <v>11</v>
      </c>
      <c r="Q14" s="69">
        <f t="shared" si="3"/>
        <v>12</v>
      </c>
      <c r="R14" s="69">
        <f t="shared" si="3"/>
        <v>13</v>
      </c>
      <c r="S14" s="69">
        <f t="shared" si="3"/>
        <v>14</v>
      </c>
      <c r="T14" s="69" t="str">
        <f t="shared" si="3"/>
        <v/>
      </c>
      <c r="U14" s="69" t="str">
        <f t="shared" si="3"/>
        <v/>
      </c>
      <c r="V14" s="69" t="str">
        <f t="shared" si="3"/>
        <v/>
      </c>
      <c r="W14" s="69" t="str">
        <f t="shared" si="3"/>
        <v/>
      </c>
      <c r="X14" s="69" t="str">
        <f t="shared" si="3"/>
        <v/>
      </c>
      <c r="Y14" s="69" t="str">
        <f t="shared" si="3"/>
        <v/>
      </c>
      <c r="Z14" s="69" t="str">
        <f t="shared" si="3"/>
        <v/>
      </c>
      <c r="AA14" s="69" t="str">
        <f t="shared" si="3"/>
        <v/>
      </c>
      <c r="AB14" s="69" t="str">
        <f t="shared" si="3"/>
        <v/>
      </c>
      <c r="AC14" s="69" t="str">
        <f t="shared" si="3"/>
        <v/>
      </c>
      <c r="AD14" s="69" t="str">
        <f t="shared" si="3"/>
        <v/>
      </c>
    </row>
    <row r="15" spans="1:30" x14ac:dyDescent="0.25">
      <c r="A15" s="70" t="s">
        <v>124</v>
      </c>
      <c r="B15" s="1">
        <v>1</v>
      </c>
      <c r="C15" s="70" t="s">
        <v>152</v>
      </c>
      <c r="D15" s="70" t="s">
        <v>150</v>
      </c>
      <c r="E15" s="1">
        <v>4</v>
      </c>
      <c r="F15" s="1">
        <f>IF(OR(F$14="",$E15=""),"",E15)</f>
        <v>4</v>
      </c>
      <c r="G15" s="1">
        <v>4</v>
      </c>
      <c r="H15" s="1">
        <v>2</v>
      </c>
      <c r="I15" s="1">
        <v>2</v>
      </c>
      <c r="J15" s="41">
        <v>2</v>
      </c>
      <c r="K15" s="41">
        <v>2</v>
      </c>
      <c r="L15" s="41">
        <v>2</v>
      </c>
      <c r="M15" s="41">
        <v>2</v>
      </c>
      <c r="N15" s="41">
        <v>2</v>
      </c>
      <c r="O15" s="41">
        <v>1</v>
      </c>
      <c r="P15" s="41">
        <v>1</v>
      </c>
      <c r="Q15" s="41">
        <v>1</v>
      </c>
      <c r="R15" s="41">
        <v>1</v>
      </c>
      <c r="S15" s="41">
        <v>1</v>
      </c>
    </row>
    <row r="16" spans="1:30" x14ac:dyDescent="0.25">
      <c r="A16" s="70" t="s">
        <v>29</v>
      </c>
      <c r="B16" s="1">
        <v>3</v>
      </c>
      <c r="C16" s="70" t="s">
        <v>125</v>
      </c>
      <c r="D16" s="70" t="s">
        <v>25</v>
      </c>
      <c r="E16" s="1">
        <v>18</v>
      </c>
      <c r="F16" s="1">
        <v>17</v>
      </c>
      <c r="G16" s="1">
        <v>15</v>
      </c>
      <c r="H16" s="1">
        <v>15</v>
      </c>
      <c r="I16" s="1">
        <v>13</v>
      </c>
      <c r="J16" s="41">
        <v>12</v>
      </c>
      <c r="K16" s="41">
        <v>12</v>
      </c>
      <c r="L16" s="41">
        <v>10</v>
      </c>
      <c r="M16" s="41">
        <v>10</v>
      </c>
      <c r="N16" s="41">
        <v>10</v>
      </c>
      <c r="O16" s="41">
        <v>10</v>
      </c>
      <c r="P16" s="41">
        <v>8</v>
      </c>
      <c r="Q16" s="41">
        <v>8</v>
      </c>
      <c r="R16" s="41">
        <v>8</v>
      </c>
      <c r="S16" s="41">
        <v>5</v>
      </c>
    </row>
    <row r="17" spans="1:30" x14ac:dyDescent="0.25">
      <c r="A17" s="70" t="s">
        <v>126</v>
      </c>
      <c r="B17" s="1">
        <v>4</v>
      </c>
      <c r="C17" s="70" t="s">
        <v>149</v>
      </c>
      <c r="D17" s="70" t="s">
        <v>150</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0" t="s">
        <v>128</v>
      </c>
      <c r="B18" s="1">
        <v>8</v>
      </c>
      <c r="C18" s="70" t="s">
        <v>129</v>
      </c>
      <c r="D18" s="70" t="s">
        <v>150</v>
      </c>
      <c r="E18" s="1">
        <v>4</v>
      </c>
      <c r="F18" s="1">
        <f>IF(OR(F$14="",$E18=""),"",E18)</f>
        <v>4</v>
      </c>
      <c r="G18" s="1">
        <v>4</v>
      </c>
      <c r="H18" s="1">
        <v>4</v>
      </c>
      <c r="I18" s="1">
        <v>2</v>
      </c>
      <c r="J18" s="41">
        <v>2</v>
      </c>
      <c r="K18" s="41">
        <v>2</v>
      </c>
      <c r="L18" s="41">
        <v>2</v>
      </c>
      <c r="M18" s="41">
        <v>2</v>
      </c>
      <c r="N18" s="41">
        <v>2</v>
      </c>
      <c r="O18" s="41">
        <v>2</v>
      </c>
      <c r="P18" s="41">
        <v>1</v>
      </c>
      <c r="Q18" s="41">
        <v>1</v>
      </c>
      <c r="R18" s="41">
        <v>1</v>
      </c>
      <c r="S18" s="41">
        <v>1</v>
      </c>
    </row>
    <row r="19" spans="1:30" x14ac:dyDescent="0.25">
      <c r="A19" s="49" t="s">
        <v>130</v>
      </c>
      <c r="B19" s="41">
        <v>11</v>
      </c>
      <c r="C19" s="70" t="s">
        <v>149</v>
      </c>
      <c r="D19" s="71" t="s">
        <v>150</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131</v>
      </c>
      <c r="B20" s="41">
        <v>13</v>
      </c>
      <c r="C20" s="70" t="s">
        <v>134</v>
      </c>
      <c r="D20" s="71" t="s">
        <v>150</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0"/>
      <c r="D21" s="71"/>
      <c r="AC21" s="41" t="str">
        <f t="shared" si="4"/>
        <v/>
      </c>
      <c r="AD21" s="41" t="str">
        <f t="shared" si="4"/>
        <v/>
      </c>
    </row>
    <row r="22" spans="1:30" x14ac:dyDescent="0.25">
      <c r="A22" s="49"/>
      <c r="C22" s="70"/>
      <c r="D22" s="71"/>
      <c r="AC22" s="41" t="str">
        <f t="shared" si="4"/>
        <v/>
      </c>
      <c r="AD22" s="41" t="str">
        <f t="shared" si="4"/>
        <v/>
      </c>
    </row>
    <row r="23" spans="1:30" ht="15" customHeight="1" x14ac:dyDescent="0.25">
      <c r="A23" s="49"/>
      <c r="C23" s="70"/>
      <c r="D23" s="71"/>
      <c r="AC23" s="41" t="str">
        <f t="shared" si="4"/>
        <v/>
      </c>
      <c r="AD23" s="41" t="str">
        <f t="shared" si="4"/>
        <v/>
      </c>
    </row>
    <row r="24" spans="1:30" x14ac:dyDescent="0.25">
      <c r="A24" s="49"/>
      <c r="C24" s="70"/>
      <c r="D24" s="71"/>
      <c r="AC24" s="41" t="str">
        <f t="shared" si="4"/>
        <v/>
      </c>
      <c r="AD24" s="41" t="str">
        <f t="shared" si="4"/>
        <v/>
      </c>
    </row>
    <row r="25" spans="1:30" x14ac:dyDescent="0.25">
      <c r="A25" s="49"/>
      <c r="C25" s="70"/>
      <c r="D25" s="71"/>
    </row>
    <row r="26" spans="1:30" x14ac:dyDescent="0.25">
      <c r="A26" s="49"/>
      <c r="C26" s="70"/>
      <c r="D26" s="71"/>
      <c r="AC26" s="41" t="str">
        <f t="shared" ref="AC26:AD34" si="5">IF(OR(AC$14="",$E26=""),"",AB26)</f>
        <v/>
      </c>
      <c r="AD26" s="41" t="str">
        <f t="shared" si="5"/>
        <v/>
      </c>
    </row>
    <row r="27" spans="1:30" x14ac:dyDescent="0.25">
      <c r="A27" s="49"/>
      <c r="C27" s="70"/>
      <c r="D27" s="71"/>
      <c r="AC27" s="41" t="str">
        <f t="shared" si="5"/>
        <v/>
      </c>
      <c r="AD27" s="41" t="str">
        <f t="shared" si="5"/>
        <v/>
      </c>
    </row>
    <row r="28" spans="1:30" x14ac:dyDescent="0.25">
      <c r="A28" s="49"/>
      <c r="C28" s="70"/>
      <c r="D28" s="71"/>
      <c r="AC28" s="41" t="str">
        <f t="shared" si="5"/>
        <v/>
      </c>
      <c r="AD28" s="41" t="str">
        <f t="shared" si="5"/>
        <v/>
      </c>
    </row>
    <row r="29" spans="1:30" x14ac:dyDescent="0.25">
      <c r="A29" s="49"/>
      <c r="C29" s="70"/>
      <c r="D29" s="71"/>
      <c r="AC29" s="41" t="str">
        <f t="shared" si="5"/>
        <v/>
      </c>
      <c r="AD29" s="41" t="str">
        <f t="shared" si="5"/>
        <v/>
      </c>
    </row>
    <row r="30" spans="1:30" x14ac:dyDescent="0.25">
      <c r="A30" s="49"/>
      <c r="C30" s="70"/>
      <c r="D30" s="71"/>
      <c r="AC30" s="41" t="str">
        <f t="shared" si="5"/>
        <v/>
      </c>
      <c r="AD30" s="41" t="str">
        <f t="shared" si="5"/>
        <v/>
      </c>
    </row>
    <row r="31" spans="1:30" x14ac:dyDescent="0.25">
      <c r="A31" s="49"/>
      <c r="C31" s="70"/>
      <c r="D31" s="71"/>
      <c r="AC31" s="41" t="str">
        <f t="shared" si="5"/>
        <v/>
      </c>
      <c r="AD31" s="41" t="str">
        <f t="shared" si="5"/>
        <v/>
      </c>
    </row>
    <row r="32" spans="1:30" x14ac:dyDescent="0.25">
      <c r="A32" s="49"/>
      <c r="C32" s="70"/>
      <c r="D32" s="71"/>
      <c r="AC32" s="41" t="str">
        <f t="shared" si="5"/>
        <v/>
      </c>
      <c r="AD32" s="41" t="str">
        <f t="shared" si="5"/>
        <v/>
      </c>
    </row>
    <row r="33" spans="1:30" x14ac:dyDescent="0.25">
      <c r="A33" s="49"/>
      <c r="C33" s="70"/>
      <c r="D33" s="71"/>
      <c r="AC33" s="41" t="str">
        <f t="shared" si="5"/>
        <v/>
      </c>
      <c r="AD33" s="41" t="str">
        <f t="shared" si="5"/>
        <v/>
      </c>
    </row>
    <row r="34" spans="1:30" x14ac:dyDescent="0.25">
      <c r="A34" s="49"/>
      <c r="C34" s="70"/>
      <c r="D34" s="71"/>
      <c r="AC34" s="41" t="str">
        <f t="shared" si="5"/>
        <v/>
      </c>
      <c r="AD34" s="41" t="str">
        <f t="shared" si="5"/>
        <v/>
      </c>
    </row>
    <row r="35" spans="1:30" x14ac:dyDescent="0.25">
      <c r="A35" s="49"/>
      <c r="C35" s="70"/>
      <c r="D35" s="71"/>
    </row>
    <row r="36" spans="1:30" x14ac:dyDescent="0.25">
      <c r="A36" s="49"/>
      <c r="C36" s="70"/>
      <c r="D36" s="71"/>
      <c r="AC36" s="41" t="str">
        <f t="shared" ref="AC36:AD63" si="6">IF(OR(AC$14="",$E36=""),"",AB36)</f>
        <v/>
      </c>
      <c r="AD36" s="41" t="str">
        <f t="shared" si="6"/>
        <v/>
      </c>
    </row>
    <row r="37" spans="1:30" x14ac:dyDescent="0.25">
      <c r="A37" s="49"/>
      <c r="C37" s="70"/>
      <c r="D37" s="71"/>
      <c r="AC37" s="41" t="str">
        <f t="shared" si="6"/>
        <v/>
      </c>
      <c r="AD37" s="41" t="str">
        <f t="shared" si="6"/>
        <v/>
      </c>
    </row>
    <row r="38" spans="1:30" x14ac:dyDescent="0.25">
      <c r="A38" s="49"/>
      <c r="C38" s="70"/>
      <c r="D38" s="71"/>
      <c r="AC38" s="41" t="str">
        <f t="shared" si="6"/>
        <v/>
      </c>
      <c r="AD38" s="41" t="str">
        <f t="shared" si="6"/>
        <v/>
      </c>
    </row>
    <row r="39" spans="1:30" x14ac:dyDescent="0.25">
      <c r="A39" s="49"/>
      <c r="C39" s="70"/>
      <c r="D39" s="71"/>
      <c r="AC39" s="41" t="str">
        <f t="shared" si="6"/>
        <v/>
      </c>
      <c r="AD39" s="41" t="str">
        <f t="shared" si="6"/>
        <v/>
      </c>
    </row>
    <row r="40" spans="1:30" x14ac:dyDescent="0.25">
      <c r="A40" s="49"/>
      <c r="C40" s="70"/>
      <c r="D40" s="71"/>
      <c r="AC40" s="41" t="str">
        <f t="shared" si="6"/>
        <v/>
      </c>
      <c r="AD40" s="41" t="str">
        <f t="shared" si="6"/>
        <v/>
      </c>
    </row>
    <row r="41" spans="1:30" x14ac:dyDescent="0.25">
      <c r="A41" s="49"/>
      <c r="C41" s="70"/>
      <c r="D41" s="71" t="str">
        <f t="shared" ref="D41:D64" si="7">IF(A41&lt;&gt;"","Planned","")</f>
        <v/>
      </c>
      <c r="F41" s="41" t="str">
        <f t="shared" ref="F41:F63" si="8">IF(OR(F$14="",$E41=""),"",E41)</f>
        <v/>
      </c>
      <c r="AC41" s="41" t="str">
        <f t="shared" si="6"/>
        <v/>
      </c>
      <c r="AD41" s="41" t="str">
        <f t="shared" si="6"/>
        <v/>
      </c>
    </row>
    <row r="42" spans="1:30" x14ac:dyDescent="0.25">
      <c r="C42" s="70"/>
      <c r="D42" s="71" t="str">
        <f t="shared" si="7"/>
        <v/>
      </c>
      <c r="F42" s="41" t="str">
        <f t="shared" si="8"/>
        <v/>
      </c>
      <c r="AC42" s="41" t="str">
        <f t="shared" si="6"/>
        <v/>
      </c>
      <c r="AD42" s="41" t="str">
        <f t="shared" si="6"/>
        <v/>
      </c>
    </row>
    <row r="43" spans="1:30" x14ac:dyDescent="0.25">
      <c r="C43" s="70"/>
      <c r="D43" s="71" t="str">
        <f t="shared" si="7"/>
        <v/>
      </c>
      <c r="F43" s="41" t="str">
        <f t="shared" si="8"/>
        <v/>
      </c>
      <c r="AC43" s="41" t="str">
        <f t="shared" si="6"/>
        <v/>
      </c>
      <c r="AD43" s="41" t="str">
        <f t="shared" si="6"/>
        <v/>
      </c>
    </row>
    <row r="44" spans="1:30" x14ac:dyDescent="0.25">
      <c r="C44" s="70"/>
      <c r="D44" s="71" t="str">
        <f t="shared" si="7"/>
        <v/>
      </c>
      <c r="F44" s="41" t="str">
        <f t="shared" si="8"/>
        <v/>
      </c>
      <c r="AC44" s="41" t="str">
        <f t="shared" si="6"/>
        <v/>
      </c>
      <c r="AD44" s="41" t="str">
        <f t="shared" si="6"/>
        <v/>
      </c>
    </row>
    <row r="45" spans="1:30" x14ac:dyDescent="0.25">
      <c r="C45" s="70"/>
      <c r="D45" s="71" t="str">
        <f t="shared" si="7"/>
        <v/>
      </c>
      <c r="F45" s="41" t="str">
        <f t="shared" si="8"/>
        <v/>
      </c>
      <c r="AC45" s="41" t="str">
        <f t="shared" si="6"/>
        <v/>
      </c>
      <c r="AD45" s="41" t="str">
        <f t="shared" si="6"/>
        <v/>
      </c>
    </row>
    <row r="46" spans="1:30" x14ac:dyDescent="0.25">
      <c r="C46" s="70"/>
      <c r="D46" s="71" t="str">
        <f t="shared" si="7"/>
        <v/>
      </c>
      <c r="F46" s="41" t="str">
        <f t="shared" si="8"/>
        <v/>
      </c>
      <c r="AC46" s="41" t="str">
        <f t="shared" si="6"/>
        <v/>
      </c>
      <c r="AD46" s="41" t="str">
        <f t="shared" si="6"/>
        <v/>
      </c>
    </row>
    <row r="47" spans="1:30" x14ac:dyDescent="0.25">
      <c r="C47" s="70"/>
      <c r="D47" s="71" t="str">
        <f t="shared" si="7"/>
        <v/>
      </c>
      <c r="F47" s="41" t="str">
        <f t="shared" si="8"/>
        <v/>
      </c>
      <c r="AC47" s="41" t="str">
        <f t="shared" si="6"/>
        <v/>
      </c>
      <c r="AD47" s="41" t="str">
        <f t="shared" si="6"/>
        <v/>
      </c>
    </row>
    <row r="48" spans="1:30" x14ac:dyDescent="0.25">
      <c r="C48" s="70"/>
      <c r="D48" s="71" t="str">
        <f t="shared" si="7"/>
        <v/>
      </c>
      <c r="F48" s="41" t="str">
        <f t="shared" si="8"/>
        <v/>
      </c>
      <c r="AC48" s="41" t="str">
        <f t="shared" si="6"/>
        <v/>
      </c>
      <c r="AD48" s="41" t="str">
        <f t="shared" si="6"/>
        <v/>
      </c>
    </row>
    <row r="49" spans="3:30" x14ac:dyDescent="0.25">
      <c r="C49" s="70"/>
      <c r="D49" s="71" t="str">
        <f t="shared" si="7"/>
        <v/>
      </c>
      <c r="F49" s="41" t="str">
        <f t="shared" si="8"/>
        <v/>
      </c>
      <c r="AC49" s="41" t="str">
        <f t="shared" si="6"/>
        <v/>
      </c>
      <c r="AD49" s="41" t="str">
        <f t="shared" si="6"/>
        <v/>
      </c>
    </row>
    <row r="50" spans="3:30" x14ac:dyDescent="0.25">
      <c r="C50" s="70"/>
      <c r="D50" s="71" t="str">
        <f t="shared" si="7"/>
        <v/>
      </c>
      <c r="F50" s="41" t="str">
        <f t="shared" si="8"/>
        <v/>
      </c>
      <c r="AC50" s="41" t="str">
        <f t="shared" si="6"/>
        <v/>
      </c>
      <c r="AD50" s="41" t="str">
        <f t="shared" si="6"/>
        <v/>
      </c>
    </row>
    <row r="51" spans="3:30" x14ac:dyDescent="0.25">
      <c r="C51" s="70"/>
      <c r="D51" s="71" t="str">
        <f t="shared" si="7"/>
        <v/>
      </c>
      <c r="F51" s="41" t="str">
        <f t="shared" si="8"/>
        <v/>
      </c>
      <c r="AC51" s="41" t="str">
        <f t="shared" si="6"/>
        <v/>
      </c>
      <c r="AD51" s="41" t="str">
        <f t="shared" si="6"/>
        <v/>
      </c>
    </row>
    <row r="52" spans="3:30" x14ac:dyDescent="0.25">
      <c r="C52" s="70"/>
      <c r="D52" s="71" t="str">
        <f t="shared" si="7"/>
        <v/>
      </c>
      <c r="F52" s="41" t="str">
        <f t="shared" si="8"/>
        <v/>
      </c>
      <c r="AC52" s="41" t="str">
        <f t="shared" si="6"/>
        <v/>
      </c>
      <c r="AD52" s="41" t="str">
        <f t="shared" si="6"/>
        <v/>
      </c>
    </row>
    <row r="53" spans="3:30" x14ac:dyDescent="0.25">
      <c r="C53" s="70"/>
      <c r="D53" s="71" t="str">
        <f t="shared" si="7"/>
        <v/>
      </c>
      <c r="F53" s="41" t="str">
        <f t="shared" si="8"/>
        <v/>
      </c>
      <c r="AC53" s="41" t="str">
        <f t="shared" si="6"/>
        <v/>
      </c>
      <c r="AD53" s="41" t="str">
        <f t="shared" si="6"/>
        <v/>
      </c>
    </row>
    <row r="54" spans="3:30" x14ac:dyDescent="0.25">
      <c r="C54" s="70"/>
      <c r="D54" s="71" t="str">
        <f t="shared" si="7"/>
        <v/>
      </c>
      <c r="F54" s="41" t="str">
        <f t="shared" si="8"/>
        <v/>
      </c>
      <c r="AC54" s="41" t="str">
        <f t="shared" si="6"/>
        <v/>
      </c>
      <c r="AD54" s="41" t="str">
        <f t="shared" si="6"/>
        <v/>
      </c>
    </row>
    <row r="55" spans="3:30" x14ac:dyDescent="0.25">
      <c r="C55" s="70"/>
      <c r="D55" s="71" t="str">
        <f t="shared" si="7"/>
        <v/>
      </c>
      <c r="F55" s="41" t="str">
        <f t="shared" si="8"/>
        <v/>
      </c>
      <c r="AC55" s="41" t="str">
        <f t="shared" si="6"/>
        <v/>
      </c>
      <c r="AD55" s="41" t="str">
        <f t="shared" si="6"/>
        <v/>
      </c>
    </row>
    <row r="56" spans="3:30" x14ac:dyDescent="0.25">
      <c r="C56" s="70"/>
      <c r="D56" s="71" t="str">
        <f t="shared" si="7"/>
        <v/>
      </c>
      <c r="F56" s="41" t="str">
        <f t="shared" si="8"/>
        <v/>
      </c>
      <c r="AC56" s="41" t="str">
        <f t="shared" si="6"/>
        <v/>
      </c>
      <c r="AD56" s="41" t="str">
        <f t="shared" si="6"/>
        <v/>
      </c>
    </row>
    <row r="57" spans="3:30" x14ac:dyDescent="0.25">
      <c r="C57" s="70"/>
      <c r="D57" s="71" t="str">
        <f t="shared" si="7"/>
        <v/>
      </c>
      <c r="F57" s="41" t="str">
        <f t="shared" si="8"/>
        <v/>
      </c>
      <c r="AC57" s="41" t="str">
        <f t="shared" si="6"/>
        <v/>
      </c>
      <c r="AD57" s="41" t="str">
        <f t="shared" si="6"/>
        <v/>
      </c>
    </row>
    <row r="58" spans="3:30" x14ac:dyDescent="0.25">
      <c r="C58" s="70"/>
      <c r="D58" s="71"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21" priority="2">
      <formula>$D15="Done"</formula>
    </cfRule>
    <cfRule type="expression" dxfId="20"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3"/>
  <sheetViews>
    <sheetView zoomScaleNormal="100" workbookViewId="0">
      <pane ySplit="14" topLeftCell="A15" activePane="bottomLeft" state="frozen"/>
      <selection pane="bottomLeft" activeCell="G23" sqref="G23"/>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132</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44</v>
      </c>
      <c r="F10" s="78">
        <f ca="1">IF(AND(SUM(OFFSET(F14,1,0,TaskRows,1))=0),0,SUM(OFFSET(F14,1,0,TaskRows,1)))</f>
        <v>44</v>
      </c>
      <c r="G10" s="78">
        <f t="shared" ref="G10:M10" ca="1" si="0">IF(AND(SUM(OFFSET(G14,1,0,TaskRows,1))=0),"",SUM(OFFSET(G14,1,0,TaskRows,1)))</f>
        <v>41</v>
      </c>
      <c r="H10" s="78">
        <f t="shared" ca="1" si="0"/>
        <v>39</v>
      </c>
      <c r="I10" s="78">
        <f t="shared" ca="1" si="0"/>
        <v>34</v>
      </c>
      <c r="J10" s="78">
        <f t="shared" ca="1" si="0"/>
        <v>30</v>
      </c>
      <c r="K10" s="78">
        <f t="shared" ca="1" si="0"/>
        <v>21</v>
      </c>
      <c r="L10" s="78">
        <f t="shared" ca="1" si="0"/>
        <v>18</v>
      </c>
      <c r="M10" s="78">
        <f t="shared" ca="1" si="0"/>
        <v>9</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7</v>
      </c>
      <c r="C11" t="s">
        <v>117</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46.916666666666664</v>
      </c>
      <c r="G12" s="1">
        <f t="shared" ca="1" si="3"/>
        <v>41.94047619047619</v>
      </c>
      <c r="H12" s="1">
        <f t="shared" ca="1" si="3"/>
        <v>36.964285714285708</v>
      </c>
      <c r="I12" s="1">
        <f t="shared" ca="1" si="3"/>
        <v>31.988095238095237</v>
      </c>
      <c r="J12" s="1">
        <f t="shared" ca="1" si="3"/>
        <v>27.011904761904763</v>
      </c>
      <c r="K12" s="1">
        <f t="shared" ca="1" si="3"/>
        <v>22.035714285714285</v>
      </c>
      <c r="L12" s="1">
        <f t="shared" ca="1" si="3"/>
        <v>17.05952380952381</v>
      </c>
      <c r="M12" s="1">
        <f t="shared" ca="1" si="3"/>
        <v>12.083333333333336</v>
      </c>
      <c r="N12" s="1">
        <f t="shared" ca="1" si="3"/>
        <v>7.1071428571428612</v>
      </c>
      <c r="O12" s="1">
        <f t="shared" ca="1" si="3"/>
        <v>2.1309523809523867</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27</v>
      </c>
      <c r="B15" s="1">
        <v>2</v>
      </c>
      <c r="C15" s="70" t="s">
        <v>133</v>
      </c>
      <c r="D15" t="s">
        <v>150</v>
      </c>
      <c r="E15" s="1">
        <v>15</v>
      </c>
      <c r="F15" s="1">
        <f t="shared" ref="F15:F58" si="5">IF(OR(F$14="",$E15=""),"",E15)</f>
        <v>15</v>
      </c>
      <c r="G15" s="1">
        <v>13</v>
      </c>
      <c r="H15" s="1">
        <v>13</v>
      </c>
      <c r="I15" s="1">
        <v>11</v>
      </c>
      <c r="J15" s="1">
        <v>11</v>
      </c>
      <c r="K15" s="1">
        <v>9</v>
      </c>
      <c r="L15" s="1">
        <v>9</v>
      </c>
      <c r="M15" s="1">
        <v>6</v>
      </c>
      <c r="N15" s="1">
        <v>6</v>
      </c>
      <c r="O15" s="1">
        <v>3</v>
      </c>
      <c r="P15" s="1">
        <v>3</v>
      </c>
      <c r="Q15" s="1">
        <v>0</v>
      </c>
      <c r="R15" s="1">
        <v>0</v>
      </c>
      <c r="S15" s="1">
        <v>0</v>
      </c>
    </row>
    <row r="16" spans="1:30" x14ac:dyDescent="0.25">
      <c r="A16" s="70" t="s">
        <v>33</v>
      </c>
      <c r="B16" s="1">
        <v>5</v>
      </c>
      <c r="C16" s="70" t="s">
        <v>127</v>
      </c>
      <c r="D16" t="s">
        <v>25</v>
      </c>
      <c r="E16" s="1">
        <v>5</v>
      </c>
      <c r="F16" s="1">
        <f t="shared" si="5"/>
        <v>5</v>
      </c>
      <c r="G16" s="1">
        <v>5</v>
      </c>
      <c r="H16" s="1">
        <v>3</v>
      </c>
      <c r="I16" s="1">
        <v>3</v>
      </c>
      <c r="J16" s="1">
        <v>1</v>
      </c>
      <c r="K16" s="1">
        <v>1</v>
      </c>
      <c r="L16" s="1">
        <v>1</v>
      </c>
      <c r="M16" s="1">
        <v>0</v>
      </c>
      <c r="N16" s="1">
        <v>0</v>
      </c>
      <c r="O16" s="1">
        <v>0</v>
      </c>
      <c r="P16" s="1">
        <v>0</v>
      </c>
      <c r="Q16" s="1">
        <v>0</v>
      </c>
      <c r="R16" s="1">
        <v>0</v>
      </c>
      <c r="S16" s="1">
        <v>0</v>
      </c>
      <c r="AC16" s="1" t="str">
        <f t="shared" ref="AC16:AD19" si="6">IF(OR(AC$14="",$E16=""),"",AB16)</f>
        <v/>
      </c>
      <c r="AD16" s="1" t="str">
        <f t="shared" si="6"/>
        <v/>
      </c>
    </row>
    <row r="17" spans="1:30" x14ac:dyDescent="0.25">
      <c r="A17" s="70" t="s">
        <v>43</v>
      </c>
      <c r="B17" s="1">
        <v>10</v>
      </c>
      <c r="C17" s="70" t="s">
        <v>134</v>
      </c>
      <c r="D17" t="s">
        <v>25</v>
      </c>
      <c r="E17" s="1">
        <v>8</v>
      </c>
      <c r="F17" s="1">
        <f t="shared" si="5"/>
        <v>8</v>
      </c>
      <c r="G17" s="1">
        <v>8</v>
      </c>
      <c r="H17" s="1">
        <v>8</v>
      </c>
      <c r="I17" s="1">
        <v>5</v>
      </c>
      <c r="J17" s="1">
        <v>4</v>
      </c>
      <c r="K17" s="1">
        <v>2</v>
      </c>
      <c r="L17" s="1">
        <v>1</v>
      </c>
      <c r="M17" s="1">
        <v>0</v>
      </c>
      <c r="N17" s="1">
        <v>0</v>
      </c>
      <c r="O17" s="1">
        <v>0</v>
      </c>
      <c r="P17" s="1">
        <v>0</v>
      </c>
      <c r="Q17" s="1">
        <v>0</v>
      </c>
      <c r="R17" s="1">
        <v>0</v>
      </c>
      <c r="S17" s="1">
        <v>0</v>
      </c>
      <c r="AC17" s="1" t="str">
        <f t="shared" si="6"/>
        <v/>
      </c>
      <c r="AD17" s="1" t="str">
        <f t="shared" si="6"/>
        <v/>
      </c>
    </row>
    <row r="18" spans="1:30" x14ac:dyDescent="0.25">
      <c r="A18" s="70" t="s">
        <v>47</v>
      </c>
      <c r="B18" s="1">
        <v>12</v>
      </c>
      <c r="C18" s="70" t="s">
        <v>129</v>
      </c>
      <c r="D18" t="s">
        <v>25</v>
      </c>
      <c r="E18" s="1">
        <v>3</v>
      </c>
      <c r="F18" s="1">
        <f t="shared" si="5"/>
        <v>3</v>
      </c>
      <c r="G18" s="1">
        <v>3</v>
      </c>
      <c r="H18" s="1">
        <v>3</v>
      </c>
      <c r="I18" s="1">
        <v>3</v>
      </c>
      <c r="J18" s="1">
        <v>3</v>
      </c>
      <c r="K18" s="1">
        <v>2</v>
      </c>
      <c r="L18" s="1">
        <v>1</v>
      </c>
      <c r="M18" s="1">
        <v>0</v>
      </c>
      <c r="N18" s="1">
        <v>0</v>
      </c>
      <c r="O18" s="1">
        <v>0</v>
      </c>
      <c r="P18" s="1">
        <v>0</v>
      </c>
      <c r="Q18" s="1">
        <v>0</v>
      </c>
      <c r="R18" s="1">
        <v>0</v>
      </c>
      <c r="S18" s="1">
        <v>0</v>
      </c>
      <c r="AC18" s="1" t="str">
        <f t="shared" si="6"/>
        <v/>
      </c>
      <c r="AD18" s="1" t="str">
        <f t="shared" si="6"/>
        <v/>
      </c>
    </row>
    <row r="19" spans="1:30" x14ac:dyDescent="0.25">
      <c r="A19" s="70" t="s">
        <v>135</v>
      </c>
      <c r="B19" s="1">
        <v>14</v>
      </c>
      <c r="C19" s="70" t="s">
        <v>157</v>
      </c>
      <c r="D19" t="s">
        <v>150</v>
      </c>
      <c r="E19" s="1">
        <v>5</v>
      </c>
      <c r="F19" s="1">
        <f t="shared" si="5"/>
        <v>5</v>
      </c>
      <c r="G19" s="1">
        <v>4</v>
      </c>
      <c r="H19" s="1">
        <v>4</v>
      </c>
      <c r="I19" s="1">
        <v>4</v>
      </c>
      <c r="J19" s="1">
        <v>4</v>
      </c>
      <c r="K19" s="1">
        <v>3</v>
      </c>
      <c r="L19" s="1">
        <v>2</v>
      </c>
      <c r="M19" s="1">
        <v>1</v>
      </c>
      <c r="N19" s="1">
        <v>0</v>
      </c>
      <c r="O19" s="1">
        <v>0</v>
      </c>
      <c r="P19" s="1">
        <v>0</v>
      </c>
      <c r="Q19" s="1">
        <v>0</v>
      </c>
      <c r="R19" s="1">
        <v>0</v>
      </c>
      <c r="S19" s="1">
        <v>0</v>
      </c>
      <c r="AC19" s="1" t="str">
        <f t="shared" si="6"/>
        <v/>
      </c>
      <c r="AD19" s="1" t="str">
        <f t="shared" si="6"/>
        <v/>
      </c>
    </row>
    <row r="20" spans="1:30" x14ac:dyDescent="0.25">
      <c r="A20" s="70" t="s">
        <v>55</v>
      </c>
      <c r="B20" s="1">
        <v>16</v>
      </c>
      <c r="C20" s="70" t="s">
        <v>129</v>
      </c>
      <c r="D20" t="s">
        <v>25</v>
      </c>
      <c r="E20" s="1">
        <v>4</v>
      </c>
      <c r="F20" s="1">
        <f t="shared" si="5"/>
        <v>4</v>
      </c>
      <c r="G20" s="1">
        <v>4</v>
      </c>
      <c r="H20" s="1">
        <v>4</v>
      </c>
      <c r="I20" s="1">
        <v>4</v>
      </c>
      <c r="J20" s="1">
        <v>4</v>
      </c>
      <c r="K20" s="1">
        <v>2</v>
      </c>
      <c r="L20" s="1">
        <v>2</v>
      </c>
      <c r="M20" s="1">
        <v>0</v>
      </c>
      <c r="N20" s="1">
        <v>0</v>
      </c>
      <c r="O20" s="1">
        <v>0</v>
      </c>
      <c r="P20" s="1">
        <v>0</v>
      </c>
      <c r="Q20" s="1">
        <v>0</v>
      </c>
      <c r="R20" s="1">
        <v>0</v>
      </c>
      <c r="S20" s="1">
        <v>0</v>
      </c>
    </row>
    <row r="21" spans="1:30" x14ac:dyDescent="0.25">
      <c r="A21" s="70" t="s">
        <v>53</v>
      </c>
      <c r="B21" s="1">
        <v>15</v>
      </c>
      <c r="C21" s="70" t="s">
        <v>136</v>
      </c>
      <c r="D21" t="s">
        <v>25</v>
      </c>
      <c r="E21" s="1">
        <v>4</v>
      </c>
      <c r="F21" s="1">
        <f t="shared" si="5"/>
        <v>4</v>
      </c>
      <c r="G21" s="1">
        <v>4</v>
      </c>
      <c r="H21" s="1">
        <v>4</v>
      </c>
      <c r="I21" s="1">
        <v>4</v>
      </c>
      <c r="J21" s="1">
        <v>3</v>
      </c>
      <c r="K21" s="1">
        <v>2</v>
      </c>
      <c r="L21" s="1">
        <v>2</v>
      </c>
      <c r="M21" s="1">
        <v>2</v>
      </c>
      <c r="N21" s="1">
        <v>2</v>
      </c>
      <c r="O21" s="1">
        <v>1</v>
      </c>
      <c r="P21" s="1">
        <v>1</v>
      </c>
      <c r="Q21" s="1">
        <v>1</v>
      </c>
      <c r="R21" s="1">
        <v>0</v>
      </c>
      <c r="S21" s="1">
        <v>0</v>
      </c>
      <c r="AC21" s="1" t="str">
        <f t="shared" ref="AC21:AC59" si="7">IF(OR(AC$14="",$E20=""),"",AB21)</f>
        <v/>
      </c>
      <c r="AD21" s="1" t="str">
        <f t="shared" ref="AD21:AD59" si="8">IF(OR(AD$14="",$E20=""),"",AC21)</f>
        <v/>
      </c>
    </row>
    <row r="22" spans="1:30" x14ac:dyDescent="0.25">
      <c r="A22" s="70"/>
      <c r="C22" s="70"/>
      <c r="D22" t="str">
        <f t="shared" ref="D22:D58" si="9">IF(A22&lt;&gt;"","Planned","")</f>
        <v/>
      </c>
      <c r="F22" s="1" t="str">
        <f t="shared" si="5"/>
        <v/>
      </c>
      <c r="AC22" s="1" t="str">
        <f t="shared" si="7"/>
        <v/>
      </c>
      <c r="AD22" s="1" t="str">
        <f t="shared" si="8"/>
        <v/>
      </c>
    </row>
    <row r="23" spans="1:30" x14ac:dyDescent="0.25">
      <c r="A23" s="70"/>
      <c r="C23" s="70"/>
      <c r="D23" t="str">
        <f t="shared" si="9"/>
        <v/>
      </c>
      <c r="F23" s="1" t="str">
        <f t="shared" si="5"/>
        <v/>
      </c>
      <c r="AC23" s="1" t="str">
        <f t="shared" si="7"/>
        <v/>
      </c>
      <c r="AD23" s="1" t="str">
        <f t="shared" si="8"/>
        <v/>
      </c>
    </row>
    <row r="24" spans="1:30" x14ac:dyDescent="0.25">
      <c r="A24" s="70"/>
      <c r="C24" s="70"/>
      <c r="D24" t="str">
        <f t="shared" si="9"/>
        <v/>
      </c>
      <c r="F24" s="1" t="str">
        <f t="shared" si="5"/>
        <v/>
      </c>
      <c r="AC24" s="1" t="str">
        <f t="shared" si="7"/>
        <v/>
      </c>
      <c r="AD24" s="1" t="str">
        <f t="shared" si="8"/>
        <v/>
      </c>
    </row>
    <row r="25" spans="1:30" x14ac:dyDescent="0.25">
      <c r="A25" s="70"/>
      <c r="C25" s="70"/>
      <c r="D25" t="str">
        <f t="shared" si="9"/>
        <v/>
      </c>
      <c r="F25" s="1" t="str">
        <f t="shared" si="5"/>
        <v/>
      </c>
      <c r="AC25" s="1" t="str">
        <f t="shared" si="7"/>
        <v/>
      </c>
      <c r="AD25" s="1" t="str">
        <f t="shared" si="8"/>
        <v/>
      </c>
    </row>
    <row r="26" spans="1:30" x14ac:dyDescent="0.25">
      <c r="A26" s="70"/>
      <c r="C26" s="70"/>
      <c r="D26" t="str">
        <f t="shared" si="9"/>
        <v/>
      </c>
      <c r="F26" s="1" t="str">
        <f t="shared" si="5"/>
        <v/>
      </c>
      <c r="AC26" s="1" t="str">
        <f t="shared" si="7"/>
        <v/>
      </c>
      <c r="AD26" s="1" t="str">
        <f t="shared" si="8"/>
        <v/>
      </c>
    </row>
    <row r="27" spans="1:30" x14ac:dyDescent="0.25">
      <c r="A27" s="70"/>
      <c r="C27" s="70"/>
      <c r="D27" t="str">
        <f t="shared" si="9"/>
        <v/>
      </c>
      <c r="F27" s="1" t="str">
        <f t="shared" si="5"/>
        <v/>
      </c>
      <c r="AC27" s="1" t="str">
        <f t="shared" si="7"/>
        <v/>
      </c>
      <c r="AD27" s="1" t="str">
        <f t="shared" si="8"/>
        <v/>
      </c>
    </row>
    <row r="28" spans="1:30" x14ac:dyDescent="0.25">
      <c r="A28" s="70"/>
      <c r="C28" s="70"/>
      <c r="D28" t="str">
        <f t="shared" si="9"/>
        <v/>
      </c>
      <c r="F28" s="1" t="str">
        <f t="shared" si="5"/>
        <v/>
      </c>
      <c r="AC28" s="1" t="str">
        <f t="shared" si="7"/>
        <v/>
      </c>
      <c r="AD28" s="1" t="str">
        <f t="shared" si="8"/>
        <v/>
      </c>
    </row>
    <row r="29" spans="1:30" x14ac:dyDescent="0.25">
      <c r="A29" s="70"/>
      <c r="C29" s="70"/>
      <c r="D29" t="str">
        <f t="shared" si="9"/>
        <v/>
      </c>
      <c r="F29" s="1" t="str">
        <f t="shared" si="5"/>
        <v/>
      </c>
      <c r="AC29" s="1" t="str">
        <f t="shared" si="7"/>
        <v/>
      </c>
      <c r="AD29" s="1" t="str">
        <f t="shared" si="8"/>
        <v/>
      </c>
    </row>
    <row r="30" spans="1:30" x14ac:dyDescent="0.25">
      <c r="A30" s="70"/>
      <c r="C30" s="70"/>
      <c r="D30" t="str">
        <f t="shared" si="9"/>
        <v/>
      </c>
      <c r="F30" s="1" t="str">
        <f t="shared" si="5"/>
        <v/>
      </c>
      <c r="AC30" s="1" t="str">
        <f t="shared" si="7"/>
        <v/>
      </c>
      <c r="AD30" s="1" t="str">
        <f t="shared" si="8"/>
        <v/>
      </c>
    </row>
    <row r="31" spans="1:30" x14ac:dyDescent="0.25">
      <c r="A31" s="70"/>
      <c r="C31" s="70"/>
      <c r="D31" t="str">
        <f t="shared" si="9"/>
        <v/>
      </c>
      <c r="F31" s="1" t="str">
        <f t="shared" si="5"/>
        <v/>
      </c>
      <c r="AC31" s="1" t="str">
        <f t="shared" si="7"/>
        <v/>
      </c>
      <c r="AD31" s="1" t="str">
        <f t="shared" si="8"/>
        <v/>
      </c>
    </row>
    <row r="32" spans="1:30" x14ac:dyDescent="0.25">
      <c r="A32" s="70"/>
      <c r="C32" s="70"/>
      <c r="D32" t="str">
        <f t="shared" si="9"/>
        <v/>
      </c>
      <c r="F32" s="1" t="str">
        <f t="shared" si="5"/>
        <v/>
      </c>
      <c r="AC32" s="1" t="str">
        <f t="shared" si="7"/>
        <v/>
      </c>
      <c r="AD32" s="1" t="str">
        <f t="shared" si="8"/>
        <v/>
      </c>
    </row>
    <row r="33" spans="1:30" x14ac:dyDescent="0.25">
      <c r="A33" s="70"/>
      <c r="C33" s="70"/>
      <c r="D33" t="str">
        <f t="shared" si="9"/>
        <v/>
      </c>
      <c r="F33" s="1" t="str">
        <f t="shared" si="5"/>
        <v/>
      </c>
      <c r="AC33" s="1" t="str">
        <f t="shared" si="7"/>
        <v/>
      </c>
      <c r="AD33" s="1" t="str">
        <f t="shared" si="8"/>
        <v/>
      </c>
    </row>
    <row r="34" spans="1:30" x14ac:dyDescent="0.25">
      <c r="A34" s="70"/>
      <c r="C34" s="70"/>
      <c r="D34" t="str">
        <f t="shared" si="9"/>
        <v/>
      </c>
      <c r="F34" s="1" t="str">
        <f t="shared" si="5"/>
        <v/>
      </c>
      <c r="AC34" s="1" t="str">
        <f t="shared" si="7"/>
        <v/>
      </c>
      <c r="AD34" s="1" t="str">
        <f t="shared" si="8"/>
        <v/>
      </c>
    </row>
    <row r="35" spans="1:30" x14ac:dyDescent="0.25">
      <c r="A35" s="70"/>
      <c r="C35" s="70"/>
      <c r="D35" t="str">
        <f t="shared" si="9"/>
        <v/>
      </c>
      <c r="F35" s="1" t="str">
        <f t="shared" si="5"/>
        <v/>
      </c>
      <c r="AC35" s="1" t="str">
        <f t="shared" si="7"/>
        <v/>
      </c>
      <c r="AD35" s="1" t="str">
        <f t="shared" si="8"/>
        <v/>
      </c>
    </row>
    <row r="36" spans="1:30" x14ac:dyDescent="0.25">
      <c r="A36" s="70"/>
      <c r="C36" s="70"/>
      <c r="D36" t="str">
        <f t="shared" si="9"/>
        <v/>
      </c>
      <c r="F36" s="1" t="str">
        <f t="shared" si="5"/>
        <v/>
      </c>
      <c r="AC36" s="1" t="str">
        <f t="shared" si="7"/>
        <v/>
      </c>
      <c r="AD36" s="1" t="str">
        <f t="shared" si="8"/>
        <v/>
      </c>
    </row>
    <row r="37" spans="1:30" x14ac:dyDescent="0.25">
      <c r="A37" s="70"/>
      <c r="C37" s="70"/>
      <c r="D37" t="str">
        <f t="shared" si="9"/>
        <v/>
      </c>
      <c r="F37" s="1" t="str">
        <f t="shared" si="5"/>
        <v/>
      </c>
      <c r="AC37" s="1" t="str">
        <f t="shared" si="7"/>
        <v/>
      </c>
      <c r="AD37" s="1" t="str">
        <f t="shared" si="8"/>
        <v/>
      </c>
    </row>
    <row r="38" spans="1:30" x14ac:dyDescent="0.25">
      <c r="A38" s="70"/>
      <c r="C38" s="70"/>
      <c r="D38" t="str">
        <f t="shared" si="9"/>
        <v/>
      </c>
      <c r="F38" s="1" t="str">
        <f t="shared" si="5"/>
        <v/>
      </c>
      <c r="AC38" s="1" t="str">
        <f t="shared" si="7"/>
        <v/>
      </c>
      <c r="AD38" s="1" t="str">
        <f t="shared" si="8"/>
        <v/>
      </c>
    </row>
    <row r="39" spans="1:30" x14ac:dyDescent="0.25">
      <c r="A39" s="70"/>
      <c r="C39" s="70"/>
      <c r="D39" t="str">
        <f t="shared" si="9"/>
        <v/>
      </c>
      <c r="F39" s="1" t="str">
        <f t="shared" si="5"/>
        <v/>
      </c>
      <c r="AC39" s="1" t="str">
        <f t="shared" si="7"/>
        <v/>
      </c>
      <c r="AD39" s="1" t="str">
        <f t="shared" si="8"/>
        <v/>
      </c>
    </row>
    <row r="40" spans="1:30" x14ac:dyDescent="0.25">
      <c r="A40" s="70"/>
      <c r="C40" s="70"/>
      <c r="D40" t="str">
        <f t="shared" si="9"/>
        <v/>
      </c>
      <c r="F40" s="1" t="str">
        <f t="shared" si="5"/>
        <v/>
      </c>
      <c r="AC40" s="1" t="str">
        <f t="shared" si="7"/>
        <v/>
      </c>
      <c r="AD40" s="1" t="str">
        <f t="shared" si="8"/>
        <v/>
      </c>
    </row>
    <row r="41" spans="1:30" x14ac:dyDescent="0.25">
      <c r="A41" s="70"/>
      <c r="C41" s="70"/>
      <c r="D41" t="str">
        <f t="shared" si="9"/>
        <v/>
      </c>
      <c r="F41" s="1" t="str">
        <f t="shared" si="5"/>
        <v/>
      </c>
      <c r="AC41" s="1" t="str">
        <f t="shared" si="7"/>
        <v/>
      </c>
      <c r="AD41" s="1" t="str">
        <f t="shared" si="8"/>
        <v/>
      </c>
    </row>
    <row r="42" spans="1:30" x14ac:dyDescent="0.25">
      <c r="A42" s="70"/>
      <c r="C42" s="70"/>
      <c r="D42" t="str">
        <f t="shared" si="9"/>
        <v/>
      </c>
      <c r="F42" s="1" t="str">
        <f t="shared" si="5"/>
        <v/>
      </c>
      <c r="AC42" s="1" t="str">
        <f t="shared" si="7"/>
        <v/>
      </c>
      <c r="AD42" s="1" t="str">
        <f t="shared" si="8"/>
        <v/>
      </c>
    </row>
    <row r="43" spans="1:30" x14ac:dyDescent="0.25">
      <c r="A43" s="70"/>
      <c r="C43" s="70"/>
      <c r="D43" t="str">
        <f t="shared" si="9"/>
        <v/>
      </c>
      <c r="F43" s="1" t="str">
        <f t="shared" si="5"/>
        <v/>
      </c>
      <c r="AC43" s="1" t="str">
        <f t="shared" si="7"/>
        <v/>
      </c>
      <c r="AD43" s="1" t="str">
        <f t="shared" si="8"/>
        <v/>
      </c>
    </row>
    <row r="44" spans="1:30" x14ac:dyDescent="0.25">
      <c r="A44" s="70"/>
      <c r="C44" s="70"/>
      <c r="D44" t="str">
        <f t="shared" si="9"/>
        <v/>
      </c>
      <c r="F44" s="1" t="str">
        <f t="shared" si="5"/>
        <v/>
      </c>
      <c r="AC44" s="1" t="str">
        <f t="shared" si="7"/>
        <v/>
      </c>
      <c r="AD44" s="1" t="str">
        <f t="shared" si="8"/>
        <v/>
      </c>
    </row>
    <row r="45" spans="1:30" x14ac:dyDescent="0.25">
      <c r="A45" s="70"/>
      <c r="C45" s="70"/>
      <c r="D45" t="str">
        <f t="shared" si="9"/>
        <v/>
      </c>
      <c r="F45" s="1" t="str">
        <f t="shared" si="5"/>
        <v/>
      </c>
      <c r="AC45" s="1" t="str">
        <f t="shared" si="7"/>
        <v/>
      </c>
      <c r="AD45" s="1" t="str">
        <f t="shared" si="8"/>
        <v/>
      </c>
    </row>
    <row r="46" spans="1:30" x14ac:dyDescent="0.25">
      <c r="A46" s="70"/>
      <c r="C46" s="70"/>
      <c r="D46" t="str">
        <f t="shared" si="9"/>
        <v/>
      </c>
      <c r="F46" s="1" t="str">
        <f t="shared" si="5"/>
        <v/>
      </c>
      <c r="AC46" s="1" t="str">
        <f t="shared" si="7"/>
        <v/>
      </c>
      <c r="AD46" s="1" t="str">
        <f t="shared" si="8"/>
        <v/>
      </c>
    </row>
    <row r="47" spans="1:30" x14ac:dyDescent="0.25">
      <c r="A47" s="70"/>
      <c r="C47" s="70"/>
      <c r="D47" t="str">
        <f t="shared" si="9"/>
        <v/>
      </c>
      <c r="F47" s="1" t="str">
        <f t="shared" si="5"/>
        <v/>
      </c>
      <c r="AC47" s="1" t="str">
        <f t="shared" si="7"/>
        <v/>
      </c>
      <c r="AD47" s="1" t="str">
        <f t="shared" si="8"/>
        <v/>
      </c>
    </row>
    <row r="48" spans="1:30" x14ac:dyDescent="0.25">
      <c r="A48" s="70"/>
      <c r="C48" s="70"/>
      <c r="D48" t="str">
        <f t="shared" si="9"/>
        <v/>
      </c>
      <c r="F48" s="1" t="str">
        <f t="shared" si="5"/>
        <v/>
      </c>
      <c r="AC48" s="1" t="str">
        <f t="shared" si="7"/>
        <v/>
      </c>
      <c r="AD48" s="1" t="str">
        <f t="shared" si="8"/>
        <v/>
      </c>
    </row>
    <row r="49" spans="1:30" x14ac:dyDescent="0.25">
      <c r="A49" s="70"/>
      <c r="C49" s="70"/>
      <c r="D49" t="str">
        <f t="shared" si="9"/>
        <v/>
      </c>
      <c r="F49" s="1" t="str">
        <f t="shared" si="5"/>
        <v/>
      </c>
      <c r="AC49" s="1" t="str">
        <f t="shared" si="7"/>
        <v/>
      </c>
      <c r="AD49" s="1" t="str">
        <f t="shared" si="8"/>
        <v/>
      </c>
    </row>
    <row r="50" spans="1:30" x14ac:dyDescent="0.25">
      <c r="A50" s="70"/>
      <c r="C50" s="70"/>
      <c r="D50" t="str">
        <f t="shared" si="9"/>
        <v/>
      </c>
      <c r="F50" s="1" t="str">
        <f t="shared" si="5"/>
        <v/>
      </c>
      <c r="AC50" s="1" t="str">
        <f t="shared" si="7"/>
        <v/>
      </c>
      <c r="AD50" s="1" t="str">
        <f t="shared" si="8"/>
        <v/>
      </c>
    </row>
    <row r="51" spans="1:30" x14ac:dyDescent="0.25">
      <c r="A51" s="70"/>
      <c r="C51" s="70"/>
      <c r="D51" t="str">
        <f t="shared" si="9"/>
        <v/>
      </c>
      <c r="F51" s="1" t="str">
        <f t="shared" si="5"/>
        <v/>
      </c>
      <c r="AC51" s="1" t="str">
        <f t="shared" si="7"/>
        <v/>
      </c>
      <c r="AD51" s="1" t="str">
        <f t="shared" si="8"/>
        <v/>
      </c>
    </row>
    <row r="52" spans="1:30" x14ac:dyDescent="0.25">
      <c r="A52" s="70"/>
      <c r="C52" s="70"/>
      <c r="D52" t="str">
        <f t="shared" si="9"/>
        <v/>
      </c>
      <c r="F52" s="1" t="str">
        <f t="shared" si="5"/>
        <v/>
      </c>
      <c r="AC52" s="1" t="str">
        <f t="shared" si="7"/>
        <v/>
      </c>
      <c r="AD52" s="1" t="str">
        <f t="shared" si="8"/>
        <v/>
      </c>
    </row>
    <row r="53" spans="1:30" x14ac:dyDescent="0.25">
      <c r="A53" s="70"/>
      <c r="C53" s="70"/>
      <c r="D53" t="str">
        <f t="shared" si="9"/>
        <v/>
      </c>
      <c r="F53" s="1" t="str">
        <f t="shared" si="5"/>
        <v/>
      </c>
      <c r="AC53" s="1" t="str">
        <f t="shared" si="7"/>
        <v/>
      </c>
      <c r="AD53" s="1" t="str">
        <f t="shared" si="8"/>
        <v/>
      </c>
    </row>
    <row r="54" spans="1:30" x14ac:dyDescent="0.25">
      <c r="A54" s="70"/>
      <c r="C54" s="70"/>
      <c r="D54" t="str">
        <f t="shared" si="9"/>
        <v/>
      </c>
      <c r="F54" s="1" t="str">
        <f t="shared" si="5"/>
        <v/>
      </c>
      <c r="AC54" s="1" t="str">
        <f t="shared" si="7"/>
        <v/>
      </c>
      <c r="AD54" s="1" t="str">
        <f t="shared" si="8"/>
        <v/>
      </c>
    </row>
    <row r="55" spans="1:30" x14ac:dyDescent="0.25">
      <c r="A55" s="70"/>
      <c r="C55" s="70"/>
      <c r="D55" t="str">
        <f t="shared" si="9"/>
        <v/>
      </c>
      <c r="F55" s="1" t="str">
        <f t="shared" si="5"/>
        <v/>
      </c>
      <c r="AC55" s="1" t="str">
        <f t="shared" si="7"/>
        <v/>
      </c>
      <c r="AD55" s="1" t="str">
        <f t="shared" si="8"/>
        <v/>
      </c>
    </row>
    <row r="56" spans="1:30" x14ac:dyDescent="0.25">
      <c r="A56" s="70"/>
      <c r="C56" s="70"/>
      <c r="D56" t="str">
        <f t="shared" si="9"/>
        <v/>
      </c>
      <c r="F56" s="1" t="str">
        <f t="shared" si="5"/>
        <v/>
      </c>
      <c r="AC56" s="1" t="str">
        <f t="shared" si="7"/>
        <v/>
      </c>
      <c r="AD56" s="1" t="str">
        <f t="shared" si="8"/>
        <v/>
      </c>
    </row>
    <row r="57" spans="1:30" x14ac:dyDescent="0.25">
      <c r="A57" s="70"/>
      <c r="C57" s="70"/>
      <c r="D57" t="str">
        <f t="shared" si="9"/>
        <v/>
      </c>
      <c r="F57" s="1" t="str">
        <f t="shared" si="5"/>
        <v/>
      </c>
      <c r="G57" s="1" t="str">
        <f t="shared" ref="G57:S57" si="10">IF(OR(G$14="",$E57=""),"",F57)</f>
        <v/>
      </c>
      <c r="H57" s="1" t="str">
        <f t="shared" si="10"/>
        <v/>
      </c>
      <c r="I57" s="1" t="str">
        <f t="shared" si="10"/>
        <v/>
      </c>
      <c r="J57" s="1" t="str">
        <f t="shared" si="10"/>
        <v/>
      </c>
      <c r="K57" s="1" t="str">
        <f t="shared" si="10"/>
        <v/>
      </c>
      <c r="L57" s="1" t="str">
        <f t="shared" si="10"/>
        <v/>
      </c>
      <c r="M57" s="1" t="str">
        <f t="shared" si="10"/>
        <v/>
      </c>
      <c r="N57" s="1" t="str">
        <f t="shared" si="10"/>
        <v/>
      </c>
      <c r="O57" s="1" t="str">
        <f t="shared" si="10"/>
        <v/>
      </c>
      <c r="P57" s="1" t="str">
        <f t="shared" si="10"/>
        <v/>
      </c>
      <c r="Q57" s="1" t="str">
        <f t="shared" si="10"/>
        <v/>
      </c>
      <c r="R57" s="1" t="str">
        <f t="shared" si="10"/>
        <v/>
      </c>
      <c r="S57" s="1" t="str">
        <f t="shared" si="10"/>
        <v/>
      </c>
      <c r="AC57" s="1" t="str">
        <f t="shared" si="7"/>
        <v/>
      </c>
      <c r="AD57" s="1" t="str">
        <f t="shared" si="8"/>
        <v/>
      </c>
    </row>
    <row r="58" spans="1:30" x14ac:dyDescent="0.25">
      <c r="D58" t="str">
        <f t="shared" si="9"/>
        <v/>
      </c>
      <c r="F58" s="1" t="str">
        <f t="shared" si="5"/>
        <v/>
      </c>
      <c r="G58" s="1" t="str">
        <f t="shared" ref="G58:S58" si="11">IF(OR(G$14="",$E58=""),"",F58)</f>
        <v/>
      </c>
      <c r="H58" s="1" t="str">
        <f t="shared" si="11"/>
        <v/>
      </c>
      <c r="I58" s="1" t="str">
        <f t="shared" si="11"/>
        <v/>
      </c>
      <c r="J58" s="1" t="str">
        <f t="shared" si="11"/>
        <v/>
      </c>
      <c r="K58" s="1" t="str">
        <f t="shared" si="11"/>
        <v/>
      </c>
      <c r="L58" s="1" t="str">
        <f t="shared" si="11"/>
        <v/>
      </c>
      <c r="M58" s="1" t="str">
        <f t="shared" si="11"/>
        <v/>
      </c>
      <c r="N58" s="1" t="str">
        <f t="shared" si="11"/>
        <v/>
      </c>
      <c r="O58" s="1" t="str">
        <f t="shared" si="11"/>
        <v/>
      </c>
      <c r="P58" s="1" t="str">
        <f t="shared" si="11"/>
        <v/>
      </c>
      <c r="Q58" s="1" t="str">
        <f t="shared" si="11"/>
        <v/>
      </c>
      <c r="R58" s="1" t="str">
        <f t="shared" si="11"/>
        <v/>
      </c>
      <c r="S58" s="1" t="str">
        <f t="shared" si="11"/>
        <v/>
      </c>
      <c r="T58" s="1" t="str">
        <f>IF(OR(T$14="",$E57=""),"",S57)</f>
        <v/>
      </c>
      <c r="U58" s="1" t="str">
        <f t="shared" ref="U58:AB59" si="12">IF(OR(U$14="",$E57=""),"",T58)</f>
        <v/>
      </c>
      <c r="V58" s="1" t="str">
        <f t="shared" si="12"/>
        <v/>
      </c>
      <c r="W58" s="1" t="str">
        <f t="shared" si="12"/>
        <v/>
      </c>
      <c r="X58" s="1" t="str">
        <f t="shared" si="12"/>
        <v/>
      </c>
      <c r="Y58" s="1" t="str">
        <f t="shared" si="12"/>
        <v/>
      </c>
      <c r="Z58" s="1" t="str">
        <f t="shared" si="12"/>
        <v/>
      </c>
      <c r="AA58" s="1" t="str">
        <f t="shared" si="12"/>
        <v/>
      </c>
      <c r="AB58" s="1" t="str">
        <f t="shared" si="12"/>
        <v/>
      </c>
      <c r="AC58" s="1" t="str">
        <f t="shared" si="7"/>
        <v/>
      </c>
      <c r="AD58" s="1" t="str">
        <f t="shared" si="8"/>
        <v/>
      </c>
    </row>
    <row r="59" spans="1:30" x14ac:dyDescent="0.25">
      <c r="T59" s="1" t="str">
        <f>IF(OR(T$14="",$E58=""),"",S58)</f>
        <v/>
      </c>
      <c r="U59" s="1" t="str">
        <f t="shared" si="12"/>
        <v/>
      </c>
      <c r="V59" s="1" t="str">
        <f t="shared" si="12"/>
        <v/>
      </c>
      <c r="W59" s="1" t="str">
        <f t="shared" si="12"/>
        <v/>
      </c>
      <c r="X59" s="1" t="str">
        <f t="shared" si="12"/>
        <v/>
      </c>
      <c r="Y59" s="1" t="str">
        <f t="shared" si="12"/>
        <v/>
      </c>
      <c r="Z59" s="1" t="str">
        <f t="shared" si="12"/>
        <v/>
      </c>
      <c r="AA59" s="1" t="str">
        <f t="shared" si="12"/>
        <v/>
      </c>
      <c r="AB59" s="1" t="str">
        <f t="shared" si="12"/>
        <v/>
      </c>
      <c r="AC59" s="1" t="str">
        <f t="shared" si="7"/>
        <v/>
      </c>
      <c r="AD59" s="1" t="str">
        <f t="shared" si="8"/>
        <v/>
      </c>
    </row>
    <row r="63" spans="1:30" x14ac:dyDescent="0.25">
      <c r="D63" t="str">
        <f>IF(A63&lt;&gt;"","Planned","")</f>
        <v/>
      </c>
    </row>
  </sheetData>
  <conditionalFormatting sqref="J15:AD18 A19:AD19 T20:AD23 A24:S57">
    <cfRule type="expression" dxfId="19" priority="2">
      <formula>$D11="Done"</formula>
    </cfRule>
    <cfRule type="expression" dxfId="18" priority="3">
      <formula>$D11="Ongoing"</formula>
    </cfRule>
  </conditionalFormatting>
  <conditionalFormatting sqref="A15:I18">
    <cfRule type="expression" dxfId="17" priority="4">
      <formula>$D15="Done"</formula>
    </cfRule>
    <cfRule type="expression" dxfId="16" priority="5">
      <formula>$D15="Ongoing"</formula>
    </cfRule>
  </conditionalFormatting>
  <conditionalFormatting sqref="A20:S22">
    <cfRule type="expression" dxfId="15" priority="19">
      <formula>$D17="Done"</formula>
    </cfRule>
    <cfRule type="expression" dxfId="14" priority="20">
      <formula>$D17="Ongoing"</formula>
    </cfRule>
  </conditionalFormatting>
  <conditionalFormatting sqref="T25:AD58">
    <cfRule type="expression" dxfId="13" priority="21">
      <formula>$D20="Done"</formula>
    </cfRule>
    <cfRule type="expression" dxfId="12" priority="22">
      <formula>$D20="Ongoing"</formula>
    </cfRule>
  </conditionalFormatting>
  <conditionalFormatting sqref="T24:AD24 A23:S23">
    <cfRule type="expression" dxfId="11" priority="23">
      <formula>#REF!="Done"</formula>
    </cfRule>
    <cfRule type="expression" dxfId="10" priority="24">
      <formula>#REF!="Ongoing"</formula>
    </cfRule>
  </conditionalFormatting>
  <dataValidations count="1">
    <dataValidation type="list" allowBlank="1" sqref="D3:D8 D15:D63"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81E9-3A9F-45B1-B0B1-0D3442DB1217}">
  <dimension ref="A1:AD63"/>
  <sheetViews>
    <sheetView zoomScaleNormal="100" workbookViewId="0">
      <pane ySplit="14" topLeftCell="A15" activePane="bottomLeft" state="frozen"/>
      <selection pane="bottomLeft" activeCell="S19" sqref="S19"/>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151</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40</v>
      </c>
      <c r="F10" s="78">
        <f ca="1">IF(AND(SUM(OFFSET(F14,1,0,TaskRows,1))=0),0,SUM(OFFSET(F14,1,0,TaskRows,1)))</f>
        <v>38</v>
      </c>
      <c r="G10" s="78">
        <f t="shared" ref="G10:M10" ca="1" si="0">IF(AND(SUM(OFFSET(G14,1,0,TaskRows,1))=0),"",SUM(OFFSET(G14,1,0,TaskRows,1)))</f>
        <v>38</v>
      </c>
      <c r="H10" s="78">
        <f t="shared" ca="1" si="0"/>
        <v>36</v>
      </c>
      <c r="I10" s="78">
        <f t="shared" ca="1" si="0"/>
        <v>35</v>
      </c>
      <c r="J10" s="78">
        <f t="shared" ca="1" si="0"/>
        <v>34</v>
      </c>
      <c r="K10" s="78">
        <f t="shared" ca="1" si="0"/>
        <v>31</v>
      </c>
      <c r="L10" s="78">
        <f t="shared" ca="1" si="0"/>
        <v>27</v>
      </c>
      <c r="M10" s="78">
        <f t="shared" ca="1" si="0"/>
        <v>23</v>
      </c>
      <c r="N10" s="78">
        <v>17</v>
      </c>
      <c r="O10" s="78">
        <v>14</v>
      </c>
      <c r="P10" s="78">
        <v>14</v>
      </c>
      <c r="Q10" s="78">
        <v>11</v>
      </c>
      <c r="R10" s="78">
        <v>8</v>
      </c>
      <c r="S10" s="78">
        <v>5</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5</v>
      </c>
      <c r="C11" t="s">
        <v>117</v>
      </c>
      <c r="D11" s="1">
        <f ca="1">IF(COUNTIF(F10:AD10,"&gt;0")=0,1,COUNTIF(F10:AD10,"&gt;0"))</f>
        <v>14</v>
      </c>
      <c r="F11" s="1">
        <f ca="1">IF(F14="","",$E10-$E10/($B9-1)*(F14-1))</f>
        <v>40</v>
      </c>
      <c r="G11" s="1">
        <f t="shared" ref="G11:AD11" ca="1" si="2">IF(G14="","",TotalEffort-TotalEffort/(ImplementationDays)*(G14-1))</f>
        <v>37.142857142857146</v>
      </c>
      <c r="H11" s="1">
        <f t="shared" ca="1" si="2"/>
        <v>34.285714285714285</v>
      </c>
      <c r="I11" s="1">
        <f t="shared" ca="1" si="2"/>
        <v>31.428571428571431</v>
      </c>
      <c r="J11" s="1">
        <f t="shared" ca="1" si="2"/>
        <v>28.571428571428569</v>
      </c>
      <c r="K11" s="1">
        <f t="shared" ca="1" si="2"/>
        <v>25.714285714285715</v>
      </c>
      <c r="L11" s="1">
        <f t="shared" ca="1" si="2"/>
        <v>22.857142857142858</v>
      </c>
      <c r="M11" s="1">
        <f t="shared" ca="1" si="2"/>
        <v>20</v>
      </c>
      <c r="N11" s="1">
        <f t="shared" ca="1" si="2"/>
        <v>17.142857142857142</v>
      </c>
      <c r="O11" s="1">
        <f t="shared" ca="1" si="2"/>
        <v>14.285714285714285</v>
      </c>
      <c r="P11" s="1">
        <f t="shared" ca="1" si="2"/>
        <v>11.428571428571427</v>
      </c>
      <c r="Q11" s="1">
        <f t="shared" ca="1" si="2"/>
        <v>8.5714285714285694</v>
      </c>
      <c r="R11" s="1">
        <f t="shared" ca="1" si="2"/>
        <v>5.7142857142857153</v>
      </c>
      <c r="S11" s="1">
        <f t="shared" ca="1" si="2"/>
        <v>2.8571428571428541</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41.885714285714286</v>
      </c>
      <c r="G12" s="1">
        <f t="shared" ca="1" si="3"/>
        <v>39.079120879120879</v>
      </c>
      <c r="H12" s="1">
        <f t="shared" ca="1" si="3"/>
        <v>36.272527472527472</v>
      </c>
      <c r="I12" s="1">
        <f t="shared" ca="1" si="3"/>
        <v>33.465934065934064</v>
      </c>
      <c r="J12" s="1">
        <f t="shared" ca="1" si="3"/>
        <v>30.659340659340657</v>
      </c>
      <c r="K12" s="1">
        <f t="shared" ca="1" si="3"/>
        <v>27.85274725274725</v>
      </c>
      <c r="L12" s="1">
        <f t="shared" ca="1" si="3"/>
        <v>25.046153846153842</v>
      </c>
      <c r="M12" s="1">
        <f t="shared" ca="1" si="3"/>
        <v>22.239560439560435</v>
      </c>
      <c r="N12" s="1">
        <f t="shared" ca="1" si="3"/>
        <v>19.432967032967028</v>
      </c>
      <c r="O12" s="1">
        <f t="shared" ca="1" si="3"/>
        <v>16.626373626373621</v>
      </c>
      <c r="P12" s="1">
        <f t="shared" ca="1" si="3"/>
        <v>13.819780219780213</v>
      </c>
      <c r="Q12" s="1">
        <f t="shared" ca="1" si="3"/>
        <v>11.013186813186806</v>
      </c>
      <c r="R12" s="1">
        <f t="shared" ca="1" si="3"/>
        <v>8.2065934065933988</v>
      </c>
      <c r="S12" s="1">
        <f t="shared" ca="1" si="3"/>
        <v>5.3999999999999915</v>
      </c>
      <c r="T12" s="1">
        <f t="shared" ca="1" si="3"/>
        <v>2.5934065934065842</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14</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35</v>
      </c>
      <c r="B15" s="1">
        <v>6</v>
      </c>
      <c r="C15" s="70" t="s">
        <v>134</v>
      </c>
      <c r="D15" t="s">
        <v>13</v>
      </c>
      <c r="E15" s="1">
        <v>10</v>
      </c>
      <c r="F15" s="1">
        <v>8</v>
      </c>
      <c r="G15" s="1">
        <v>8</v>
      </c>
      <c r="H15" s="1">
        <v>8</v>
      </c>
      <c r="I15" s="1">
        <v>8</v>
      </c>
      <c r="J15" s="1">
        <v>7</v>
      </c>
      <c r="K15" s="1">
        <v>7</v>
      </c>
      <c r="L15" s="1">
        <v>3</v>
      </c>
      <c r="M15" s="1">
        <v>3</v>
      </c>
      <c r="N15" s="1">
        <v>3</v>
      </c>
      <c r="O15" s="1">
        <v>0</v>
      </c>
      <c r="P15" s="1">
        <v>0</v>
      </c>
      <c r="Q15" s="1">
        <v>0</v>
      </c>
      <c r="R15" s="1">
        <v>0</v>
      </c>
      <c r="S15" s="1">
        <v>0</v>
      </c>
    </row>
    <row r="16" spans="1:30" x14ac:dyDescent="0.25">
      <c r="A16" s="70" t="s">
        <v>153</v>
      </c>
      <c r="B16" s="1">
        <v>7</v>
      </c>
      <c r="C16" s="70" t="s">
        <v>129</v>
      </c>
      <c r="D16" t="s">
        <v>13</v>
      </c>
      <c r="E16" s="1">
        <v>8</v>
      </c>
      <c r="F16" s="1">
        <v>8</v>
      </c>
      <c r="G16" s="1">
        <v>8</v>
      </c>
      <c r="H16" s="1">
        <v>8</v>
      </c>
      <c r="I16" s="1">
        <v>7</v>
      </c>
      <c r="J16" s="1">
        <v>7</v>
      </c>
      <c r="K16" s="1">
        <v>5</v>
      </c>
      <c r="L16" s="1">
        <v>5</v>
      </c>
      <c r="M16" s="1">
        <v>3</v>
      </c>
      <c r="N16" s="1">
        <v>3</v>
      </c>
      <c r="O16" s="1">
        <v>3</v>
      </c>
      <c r="P16" s="1">
        <v>3</v>
      </c>
      <c r="Q16" s="1">
        <v>2</v>
      </c>
      <c r="R16" s="1">
        <v>1</v>
      </c>
      <c r="S16" s="1">
        <v>1</v>
      </c>
      <c r="AC16" s="1" t="str">
        <f t="shared" ref="AC16:AD19" si="5">IF(OR(AC$14="",$E16=""),"",AB16)</f>
        <v/>
      </c>
      <c r="AD16" s="1" t="str">
        <f t="shared" si="5"/>
        <v/>
      </c>
    </row>
    <row r="17" spans="1:30" x14ac:dyDescent="0.25">
      <c r="A17" s="70" t="s">
        <v>41</v>
      </c>
      <c r="B17" s="1">
        <v>9</v>
      </c>
      <c r="C17" s="70" t="s">
        <v>133</v>
      </c>
      <c r="D17" t="s">
        <v>13</v>
      </c>
      <c r="E17" s="1">
        <v>13</v>
      </c>
      <c r="F17" s="1">
        <v>13</v>
      </c>
      <c r="G17" s="1">
        <v>13</v>
      </c>
      <c r="H17" s="1">
        <v>13</v>
      </c>
      <c r="I17" s="1">
        <v>13</v>
      </c>
      <c r="J17" s="1">
        <v>13</v>
      </c>
      <c r="K17" s="1">
        <v>13</v>
      </c>
      <c r="L17" s="1">
        <v>13</v>
      </c>
      <c r="M17" s="1">
        <v>13</v>
      </c>
      <c r="N17" s="1">
        <v>7</v>
      </c>
      <c r="O17" s="1">
        <v>7</v>
      </c>
      <c r="P17" s="1">
        <v>7</v>
      </c>
      <c r="Q17" s="1">
        <v>5</v>
      </c>
      <c r="R17" s="1">
        <v>5</v>
      </c>
      <c r="S17" s="1">
        <v>2</v>
      </c>
      <c r="AC17" s="1" t="str">
        <f t="shared" si="5"/>
        <v/>
      </c>
      <c r="AD17" s="1" t="str">
        <f t="shared" si="5"/>
        <v/>
      </c>
    </row>
    <row r="18" spans="1:30" x14ac:dyDescent="0.25">
      <c r="A18" s="70" t="s">
        <v>154</v>
      </c>
      <c r="B18" s="1">
        <v>17</v>
      </c>
      <c r="C18" s="70" t="s">
        <v>133</v>
      </c>
      <c r="D18" t="s">
        <v>13</v>
      </c>
      <c r="E18" s="1">
        <v>6</v>
      </c>
      <c r="F18" s="1">
        <v>6</v>
      </c>
      <c r="G18" s="1">
        <v>6</v>
      </c>
      <c r="H18" s="1">
        <v>6</v>
      </c>
      <c r="I18" s="1">
        <v>6</v>
      </c>
      <c r="J18" s="1">
        <v>6</v>
      </c>
      <c r="K18" s="1">
        <v>6</v>
      </c>
      <c r="L18" s="1">
        <v>6</v>
      </c>
      <c r="M18" s="1">
        <v>4</v>
      </c>
      <c r="N18" s="1">
        <v>4</v>
      </c>
      <c r="O18" s="1">
        <v>4</v>
      </c>
      <c r="P18" s="1">
        <v>4</v>
      </c>
      <c r="Q18" s="1">
        <v>4</v>
      </c>
      <c r="R18" s="1">
        <v>2</v>
      </c>
      <c r="S18" s="1">
        <v>2</v>
      </c>
      <c r="AC18" s="1" t="str">
        <f t="shared" si="5"/>
        <v/>
      </c>
      <c r="AD18" s="1" t="str">
        <f t="shared" si="5"/>
        <v/>
      </c>
    </row>
    <row r="19" spans="1:30" x14ac:dyDescent="0.25">
      <c r="A19" s="70" t="s">
        <v>155</v>
      </c>
      <c r="B19" s="1">
        <v>18</v>
      </c>
      <c r="C19" s="70" t="s">
        <v>156</v>
      </c>
      <c r="D19" t="s">
        <v>13</v>
      </c>
      <c r="E19" s="1">
        <v>3</v>
      </c>
      <c r="F19" s="1">
        <v>3</v>
      </c>
      <c r="G19" s="1">
        <v>3</v>
      </c>
      <c r="H19" s="1">
        <v>1</v>
      </c>
      <c r="I19" s="1">
        <v>1</v>
      </c>
      <c r="J19" s="1">
        <v>1</v>
      </c>
      <c r="K19" s="1">
        <v>0</v>
      </c>
      <c r="L19" s="1">
        <v>0</v>
      </c>
      <c r="M19" s="1">
        <v>0</v>
      </c>
      <c r="N19" s="1">
        <v>0</v>
      </c>
      <c r="O19" s="1">
        <v>0</v>
      </c>
      <c r="P19" s="1">
        <v>0</v>
      </c>
      <c r="Q19" s="1">
        <v>0</v>
      </c>
      <c r="R19" s="1">
        <v>0</v>
      </c>
      <c r="S19" s="1">
        <v>0</v>
      </c>
      <c r="AC19" s="1" t="str">
        <f t="shared" si="5"/>
        <v/>
      </c>
      <c r="AD19" s="1" t="str">
        <f t="shared" si="5"/>
        <v/>
      </c>
    </row>
    <row r="20" spans="1:30" x14ac:dyDescent="0.25">
      <c r="A20" s="70"/>
      <c r="C20" s="70"/>
    </row>
    <row r="21" spans="1:30" x14ac:dyDescent="0.25">
      <c r="A21" s="70"/>
      <c r="C21" s="70"/>
      <c r="AC21" s="1" t="str">
        <f t="shared" ref="AC21:AC59" si="6">IF(OR(AC$14="",$E20=""),"",AB21)</f>
        <v/>
      </c>
      <c r="AD21" s="1" t="str">
        <f t="shared" ref="AD21:AD59" si="7">IF(OR(AD$14="",$E20=""),"",AC21)</f>
        <v/>
      </c>
    </row>
    <row r="22" spans="1:30" x14ac:dyDescent="0.25">
      <c r="A22" s="70"/>
      <c r="C22" s="70"/>
      <c r="D22" t="str">
        <f t="shared" ref="D22:D58" si="8">IF(A22&lt;&gt;"","Planned","")</f>
        <v/>
      </c>
      <c r="F22" s="1" t="str">
        <f t="shared" ref="F22:S58" si="9">IF(OR(F$14="",$E22=""),"",E22)</f>
        <v/>
      </c>
      <c r="AC22" s="1" t="str">
        <f t="shared" si="6"/>
        <v/>
      </c>
      <c r="AD22" s="1" t="str">
        <f t="shared" si="7"/>
        <v/>
      </c>
    </row>
    <row r="23" spans="1:30" x14ac:dyDescent="0.25">
      <c r="A23" s="70"/>
      <c r="C23" s="70"/>
      <c r="D23" t="str">
        <f t="shared" si="8"/>
        <v/>
      </c>
      <c r="F23" s="1" t="str">
        <f t="shared" si="9"/>
        <v/>
      </c>
      <c r="AC23" s="1" t="str">
        <f t="shared" si="6"/>
        <v/>
      </c>
      <c r="AD23" s="1" t="str">
        <f t="shared" si="7"/>
        <v/>
      </c>
    </row>
    <row r="24" spans="1:30" x14ac:dyDescent="0.25">
      <c r="A24" s="70"/>
      <c r="C24" s="70"/>
      <c r="D24" t="str">
        <f t="shared" si="8"/>
        <v/>
      </c>
      <c r="F24" s="1" t="str">
        <f t="shared" si="9"/>
        <v/>
      </c>
      <c r="AC24" s="1" t="str">
        <f t="shared" si="6"/>
        <v/>
      </c>
      <c r="AD24" s="1" t="str">
        <f t="shared" si="7"/>
        <v/>
      </c>
    </row>
    <row r="25" spans="1:30" x14ac:dyDescent="0.25">
      <c r="A25" s="70"/>
      <c r="C25" s="70"/>
      <c r="D25" t="str">
        <f t="shared" si="8"/>
        <v/>
      </c>
      <c r="F25" s="1" t="str">
        <f t="shared" si="9"/>
        <v/>
      </c>
      <c r="AC25" s="1" t="str">
        <f t="shared" si="6"/>
        <v/>
      </c>
      <c r="AD25" s="1" t="str">
        <f t="shared" si="7"/>
        <v/>
      </c>
    </row>
    <row r="26" spans="1:30" x14ac:dyDescent="0.25">
      <c r="A26" s="70"/>
      <c r="C26" s="70"/>
      <c r="D26" t="str">
        <f t="shared" si="8"/>
        <v/>
      </c>
      <c r="F26" s="1" t="str">
        <f t="shared" si="9"/>
        <v/>
      </c>
      <c r="AC26" s="1" t="str">
        <f t="shared" si="6"/>
        <v/>
      </c>
      <c r="AD26" s="1" t="str">
        <f t="shared" si="7"/>
        <v/>
      </c>
    </row>
    <row r="27" spans="1:30" x14ac:dyDescent="0.25">
      <c r="A27" s="70"/>
      <c r="C27" s="70"/>
      <c r="D27" t="str">
        <f t="shared" si="8"/>
        <v/>
      </c>
      <c r="F27" s="1" t="str">
        <f t="shared" si="9"/>
        <v/>
      </c>
      <c r="AC27" s="1" t="str">
        <f t="shared" si="6"/>
        <v/>
      </c>
      <c r="AD27" s="1" t="str">
        <f t="shared" si="7"/>
        <v/>
      </c>
    </row>
    <row r="28" spans="1:30" x14ac:dyDescent="0.25">
      <c r="A28" s="70"/>
      <c r="C28" s="70"/>
      <c r="D28" t="str">
        <f t="shared" si="8"/>
        <v/>
      </c>
      <c r="F28" s="1" t="str">
        <f t="shared" si="9"/>
        <v/>
      </c>
      <c r="AC28" s="1" t="str">
        <f t="shared" si="6"/>
        <v/>
      </c>
      <c r="AD28" s="1" t="str">
        <f t="shared" si="7"/>
        <v/>
      </c>
    </row>
    <row r="29" spans="1:30" x14ac:dyDescent="0.25">
      <c r="A29" s="70"/>
      <c r="C29" s="70"/>
      <c r="D29" t="str">
        <f t="shared" si="8"/>
        <v/>
      </c>
      <c r="F29" s="1" t="str">
        <f t="shared" si="9"/>
        <v/>
      </c>
      <c r="AC29" s="1" t="str">
        <f t="shared" si="6"/>
        <v/>
      </c>
      <c r="AD29" s="1" t="str">
        <f t="shared" si="7"/>
        <v/>
      </c>
    </row>
    <row r="30" spans="1:30" x14ac:dyDescent="0.25">
      <c r="A30" s="70"/>
      <c r="C30" s="70"/>
      <c r="D30" t="str">
        <f t="shared" si="8"/>
        <v/>
      </c>
      <c r="F30" s="1" t="str">
        <f t="shared" si="9"/>
        <v/>
      </c>
      <c r="AC30" s="1" t="str">
        <f t="shared" si="6"/>
        <v/>
      </c>
      <c r="AD30" s="1" t="str">
        <f t="shared" si="7"/>
        <v/>
      </c>
    </row>
    <row r="31" spans="1:30" x14ac:dyDescent="0.25">
      <c r="A31" s="70"/>
      <c r="C31" s="70"/>
      <c r="D31" t="str">
        <f t="shared" si="8"/>
        <v/>
      </c>
      <c r="F31" s="1" t="str">
        <f t="shared" si="9"/>
        <v/>
      </c>
      <c r="AC31" s="1" t="str">
        <f t="shared" si="6"/>
        <v/>
      </c>
      <c r="AD31" s="1" t="str">
        <f t="shared" si="7"/>
        <v/>
      </c>
    </row>
    <row r="32" spans="1:30" x14ac:dyDescent="0.25">
      <c r="A32" s="70"/>
      <c r="C32" s="70"/>
      <c r="D32" t="str">
        <f t="shared" si="8"/>
        <v/>
      </c>
      <c r="F32" s="1" t="str">
        <f t="shared" si="9"/>
        <v/>
      </c>
      <c r="AC32" s="1" t="str">
        <f t="shared" si="6"/>
        <v/>
      </c>
      <c r="AD32" s="1" t="str">
        <f t="shared" si="7"/>
        <v/>
      </c>
    </row>
    <row r="33" spans="1:30" x14ac:dyDescent="0.25">
      <c r="A33" s="70"/>
      <c r="C33" s="70"/>
      <c r="D33" t="str">
        <f t="shared" si="8"/>
        <v/>
      </c>
      <c r="F33" s="1" t="str">
        <f t="shared" si="9"/>
        <v/>
      </c>
      <c r="AC33" s="1" t="str">
        <f t="shared" si="6"/>
        <v/>
      </c>
      <c r="AD33" s="1" t="str">
        <f t="shared" si="7"/>
        <v/>
      </c>
    </row>
    <row r="34" spans="1:30" x14ac:dyDescent="0.25">
      <c r="A34" s="70"/>
      <c r="C34" s="70"/>
      <c r="D34" t="str">
        <f t="shared" si="8"/>
        <v/>
      </c>
      <c r="F34" s="1" t="str">
        <f t="shared" si="9"/>
        <v/>
      </c>
      <c r="AC34" s="1" t="str">
        <f t="shared" si="6"/>
        <v/>
      </c>
      <c r="AD34" s="1" t="str">
        <f t="shared" si="7"/>
        <v/>
      </c>
    </row>
    <row r="35" spans="1:30" x14ac:dyDescent="0.25">
      <c r="A35" s="70"/>
      <c r="C35" s="70"/>
      <c r="D35" t="str">
        <f t="shared" si="8"/>
        <v/>
      </c>
      <c r="F35" s="1" t="str">
        <f t="shared" si="9"/>
        <v/>
      </c>
      <c r="AC35" s="1" t="str">
        <f t="shared" si="6"/>
        <v/>
      </c>
      <c r="AD35" s="1" t="str">
        <f t="shared" si="7"/>
        <v/>
      </c>
    </row>
    <row r="36" spans="1:30" x14ac:dyDescent="0.25">
      <c r="A36" s="70"/>
      <c r="C36" s="70"/>
      <c r="D36" t="str">
        <f t="shared" si="8"/>
        <v/>
      </c>
      <c r="F36" s="1" t="str">
        <f t="shared" si="9"/>
        <v/>
      </c>
      <c r="AC36" s="1" t="str">
        <f t="shared" si="6"/>
        <v/>
      </c>
      <c r="AD36" s="1" t="str">
        <f t="shared" si="7"/>
        <v/>
      </c>
    </row>
    <row r="37" spans="1:30" x14ac:dyDescent="0.25">
      <c r="A37" s="70"/>
      <c r="C37" s="70"/>
      <c r="D37" t="str">
        <f t="shared" si="8"/>
        <v/>
      </c>
      <c r="F37" s="1" t="str">
        <f t="shared" si="9"/>
        <v/>
      </c>
      <c r="AC37" s="1" t="str">
        <f t="shared" si="6"/>
        <v/>
      </c>
      <c r="AD37" s="1" t="str">
        <f t="shared" si="7"/>
        <v/>
      </c>
    </row>
    <row r="38" spans="1:30" x14ac:dyDescent="0.25">
      <c r="A38" s="70"/>
      <c r="C38" s="70"/>
      <c r="D38" t="str">
        <f t="shared" si="8"/>
        <v/>
      </c>
      <c r="F38" s="1" t="str">
        <f t="shared" si="9"/>
        <v/>
      </c>
      <c r="AC38" s="1" t="str">
        <f t="shared" si="6"/>
        <v/>
      </c>
      <c r="AD38" s="1" t="str">
        <f t="shared" si="7"/>
        <v/>
      </c>
    </row>
    <row r="39" spans="1:30" x14ac:dyDescent="0.25">
      <c r="A39" s="70"/>
      <c r="C39" s="70"/>
      <c r="D39" t="str">
        <f t="shared" si="8"/>
        <v/>
      </c>
      <c r="F39" s="1" t="str">
        <f t="shared" si="9"/>
        <v/>
      </c>
      <c r="AC39" s="1" t="str">
        <f t="shared" si="6"/>
        <v/>
      </c>
      <c r="AD39" s="1" t="str">
        <f t="shared" si="7"/>
        <v/>
      </c>
    </row>
    <row r="40" spans="1:30" x14ac:dyDescent="0.25">
      <c r="A40" s="70"/>
      <c r="C40" s="70"/>
      <c r="D40" t="str">
        <f t="shared" si="8"/>
        <v/>
      </c>
      <c r="F40" s="1" t="str">
        <f t="shared" si="9"/>
        <v/>
      </c>
      <c r="AC40" s="1" t="str">
        <f t="shared" si="6"/>
        <v/>
      </c>
      <c r="AD40" s="1" t="str">
        <f t="shared" si="7"/>
        <v/>
      </c>
    </row>
    <row r="41" spans="1:30" x14ac:dyDescent="0.25">
      <c r="A41" s="70"/>
      <c r="C41" s="70"/>
      <c r="D41" t="str">
        <f t="shared" si="8"/>
        <v/>
      </c>
      <c r="F41" s="1" t="str">
        <f t="shared" si="9"/>
        <v/>
      </c>
      <c r="AC41" s="1" t="str">
        <f t="shared" si="6"/>
        <v/>
      </c>
      <c r="AD41" s="1" t="str">
        <f t="shared" si="7"/>
        <v/>
      </c>
    </row>
    <row r="42" spans="1:30" x14ac:dyDescent="0.25">
      <c r="A42" s="70"/>
      <c r="C42" s="70"/>
      <c r="D42" t="str">
        <f t="shared" si="8"/>
        <v/>
      </c>
      <c r="F42" s="1" t="str">
        <f t="shared" si="9"/>
        <v/>
      </c>
      <c r="AC42" s="1" t="str">
        <f t="shared" si="6"/>
        <v/>
      </c>
      <c r="AD42" s="1" t="str">
        <f t="shared" si="7"/>
        <v/>
      </c>
    </row>
    <row r="43" spans="1:30" x14ac:dyDescent="0.25">
      <c r="A43" s="70"/>
      <c r="C43" s="70"/>
      <c r="D43" t="str">
        <f t="shared" si="8"/>
        <v/>
      </c>
      <c r="F43" s="1" t="str">
        <f t="shared" si="9"/>
        <v/>
      </c>
      <c r="AC43" s="1" t="str">
        <f t="shared" si="6"/>
        <v/>
      </c>
      <c r="AD43" s="1" t="str">
        <f t="shared" si="7"/>
        <v/>
      </c>
    </row>
    <row r="44" spans="1:30" x14ac:dyDescent="0.25">
      <c r="A44" s="70"/>
      <c r="C44" s="70"/>
      <c r="D44" t="str">
        <f t="shared" si="8"/>
        <v/>
      </c>
      <c r="F44" s="1" t="str">
        <f t="shared" si="9"/>
        <v/>
      </c>
      <c r="AC44" s="1" t="str">
        <f t="shared" si="6"/>
        <v/>
      </c>
      <c r="AD44" s="1" t="str">
        <f t="shared" si="7"/>
        <v/>
      </c>
    </row>
    <row r="45" spans="1:30" x14ac:dyDescent="0.25">
      <c r="A45" s="70"/>
      <c r="C45" s="70"/>
      <c r="D45" t="str">
        <f t="shared" si="8"/>
        <v/>
      </c>
      <c r="F45" s="1" t="str">
        <f t="shared" si="9"/>
        <v/>
      </c>
      <c r="AC45" s="1" t="str">
        <f t="shared" si="6"/>
        <v/>
      </c>
      <c r="AD45" s="1" t="str">
        <f t="shared" si="7"/>
        <v/>
      </c>
    </row>
    <row r="46" spans="1:30" x14ac:dyDescent="0.25">
      <c r="A46" s="70"/>
      <c r="C46" s="70"/>
      <c r="D46" t="str">
        <f t="shared" si="8"/>
        <v/>
      </c>
      <c r="F46" s="1" t="str">
        <f t="shared" si="9"/>
        <v/>
      </c>
      <c r="AC46" s="1" t="str">
        <f t="shared" si="6"/>
        <v/>
      </c>
      <c r="AD46" s="1" t="str">
        <f t="shared" si="7"/>
        <v/>
      </c>
    </row>
    <row r="47" spans="1:30" x14ac:dyDescent="0.25">
      <c r="A47" s="70"/>
      <c r="C47" s="70"/>
      <c r="D47" t="str">
        <f t="shared" si="8"/>
        <v/>
      </c>
      <c r="F47" s="1" t="str">
        <f t="shared" si="9"/>
        <v/>
      </c>
      <c r="AC47" s="1" t="str">
        <f t="shared" si="6"/>
        <v/>
      </c>
      <c r="AD47" s="1" t="str">
        <f t="shared" si="7"/>
        <v/>
      </c>
    </row>
    <row r="48" spans="1:30" x14ac:dyDescent="0.25">
      <c r="A48" s="70"/>
      <c r="C48" s="70"/>
      <c r="D48" t="str">
        <f t="shared" si="8"/>
        <v/>
      </c>
      <c r="F48" s="1" t="str">
        <f t="shared" si="9"/>
        <v/>
      </c>
      <c r="AC48" s="1" t="str">
        <f t="shared" si="6"/>
        <v/>
      </c>
      <c r="AD48" s="1" t="str">
        <f t="shared" si="7"/>
        <v/>
      </c>
    </row>
    <row r="49" spans="1:30" x14ac:dyDescent="0.25">
      <c r="A49" s="70"/>
      <c r="C49" s="70"/>
      <c r="D49" t="str">
        <f t="shared" si="8"/>
        <v/>
      </c>
      <c r="F49" s="1" t="str">
        <f t="shared" si="9"/>
        <v/>
      </c>
      <c r="AC49" s="1" t="str">
        <f t="shared" si="6"/>
        <v/>
      </c>
      <c r="AD49" s="1" t="str">
        <f t="shared" si="7"/>
        <v/>
      </c>
    </row>
    <row r="50" spans="1:30" x14ac:dyDescent="0.25">
      <c r="A50" s="70"/>
      <c r="C50" s="70"/>
      <c r="D50" t="str">
        <f t="shared" si="8"/>
        <v/>
      </c>
      <c r="F50" s="1" t="str">
        <f t="shared" si="9"/>
        <v/>
      </c>
      <c r="AC50" s="1" t="str">
        <f t="shared" si="6"/>
        <v/>
      </c>
      <c r="AD50" s="1" t="str">
        <f t="shared" si="7"/>
        <v/>
      </c>
    </row>
    <row r="51" spans="1:30" x14ac:dyDescent="0.25">
      <c r="A51" s="70"/>
      <c r="C51" s="70"/>
      <c r="D51" t="str">
        <f t="shared" si="8"/>
        <v/>
      </c>
      <c r="F51" s="1" t="str">
        <f t="shared" si="9"/>
        <v/>
      </c>
      <c r="AC51" s="1" t="str">
        <f t="shared" si="6"/>
        <v/>
      </c>
      <c r="AD51" s="1" t="str">
        <f t="shared" si="7"/>
        <v/>
      </c>
    </row>
    <row r="52" spans="1:30" x14ac:dyDescent="0.25">
      <c r="A52" s="70"/>
      <c r="C52" s="70"/>
      <c r="D52" t="str">
        <f t="shared" si="8"/>
        <v/>
      </c>
      <c r="F52" s="1" t="str">
        <f t="shared" si="9"/>
        <v/>
      </c>
      <c r="AC52" s="1" t="str">
        <f t="shared" si="6"/>
        <v/>
      </c>
      <c r="AD52" s="1" t="str">
        <f t="shared" si="7"/>
        <v/>
      </c>
    </row>
    <row r="53" spans="1:30" x14ac:dyDescent="0.25">
      <c r="A53" s="70"/>
      <c r="C53" s="70"/>
      <c r="D53" t="str">
        <f t="shared" si="8"/>
        <v/>
      </c>
      <c r="F53" s="1" t="str">
        <f t="shared" si="9"/>
        <v/>
      </c>
      <c r="AC53" s="1" t="str">
        <f t="shared" si="6"/>
        <v/>
      </c>
      <c r="AD53" s="1" t="str">
        <f t="shared" si="7"/>
        <v/>
      </c>
    </row>
    <row r="54" spans="1:30" x14ac:dyDescent="0.25">
      <c r="A54" s="70"/>
      <c r="C54" s="70"/>
      <c r="D54" t="str">
        <f t="shared" si="8"/>
        <v/>
      </c>
      <c r="F54" s="1" t="str">
        <f t="shared" si="9"/>
        <v/>
      </c>
      <c r="AC54" s="1" t="str">
        <f t="shared" si="6"/>
        <v/>
      </c>
      <c r="AD54" s="1" t="str">
        <f t="shared" si="7"/>
        <v/>
      </c>
    </row>
    <row r="55" spans="1:30" x14ac:dyDescent="0.25">
      <c r="A55" s="70"/>
      <c r="C55" s="70"/>
      <c r="D55" t="str">
        <f t="shared" si="8"/>
        <v/>
      </c>
      <c r="F55" s="1" t="str">
        <f t="shared" si="9"/>
        <v/>
      </c>
      <c r="AC55" s="1" t="str">
        <f t="shared" si="6"/>
        <v/>
      </c>
      <c r="AD55" s="1" t="str">
        <f t="shared" si="7"/>
        <v/>
      </c>
    </row>
    <row r="56" spans="1:30" x14ac:dyDescent="0.25">
      <c r="A56" s="70"/>
      <c r="C56" s="70"/>
      <c r="D56" t="str">
        <f t="shared" si="8"/>
        <v/>
      </c>
      <c r="F56" s="1" t="str">
        <f t="shared" si="9"/>
        <v/>
      </c>
      <c r="AC56" s="1" t="str">
        <f t="shared" si="6"/>
        <v/>
      </c>
      <c r="AD56" s="1" t="str">
        <f t="shared" si="7"/>
        <v/>
      </c>
    </row>
    <row r="57" spans="1:30" x14ac:dyDescent="0.25">
      <c r="A57" s="70"/>
      <c r="C57" s="70"/>
      <c r="D57" t="str">
        <f t="shared" si="8"/>
        <v/>
      </c>
      <c r="F57" s="1" t="str">
        <f t="shared" si="9"/>
        <v/>
      </c>
      <c r="G57" s="1" t="str">
        <f t="shared" si="9"/>
        <v/>
      </c>
      <c r="H57" s="1" t="str">
        <f t="shared" si="9"/>
        <v/>
      </c>
      <c r="I57" s="1" t="str">
        <f t="shared" si="9"/>
        <v/>
      </c>
      <c r="J57" s="1" t="str">
        <f t="shared" si="9"/>
        <v/>
      </c>
      <c r="K57" s="1" t="str">
        <f t="shared" si="9"/>
        <v/>
      </c>
      <c r="L57" s="1" t="str">
        <f t="shared" si="9"/>
        <v/>
      </c>
      <c r="M57" s="1" t="str">
        <f t="shared" si="9"/>
        <v/>
      </c>
      <c r="N57" s="1" t="str">
        <f t="shared" si="9"/>
        <v/>
      </c>
      <c r="O57" s="1" t="str">
        <f t="shared" si="9"/>
        <v/>
      </c>
      <c r="P57" s="1" t="str">
        <f t="shared" si="9"/>
        <v/>
      </c>
      <c r="Q57" s="1" t="str">
        <f t="shared" si="9"/>
        <v/>
      </c>
      <c r="R57" s="1" t="str">
        <f t="shared" si="9"/>
        <v/>
      </c>
      <c r="S57" s="1" t="str">
        <f t="shared" si="9"/>
        <v/>
      </c>
      <c r="AC57" s="1" t="str">
        <f t="shared" si="6"/>
        <v/>
      </c>
      <c r="AD57" s="1" t="str">
        <f t="shared" si="7"/>
        <v/>
      </c>
    </row>
    <row r="58" spans="1:30" x14ac:dyDescent="0.25">
      <c r="D58" t="str">
        <f t="shared" si="8"/>
        <v/>
      </c>
      <c r="F58" s="1" t="str">
        <f t="shared" si="9"/>
        <v/>
      </c>
      <c r="G58" s="1" t="str">
        <f t="shared" si="9"/>
        <v/>
      </c>
      <c r="H58" s="1" t="str">
        <f t="shared" si="9"/>
        <v/>
      </c>
      <c r="I58" s="1" t="str">
        <f t="shared" si="9"/>
        <v/>
      </c>
      <c r="J58" s="1" t="str">
        <f t="shared" si="9"/>
        <v/>
      </c>
      <c r="K58" s="1" t="str">
        <f t="shared" si="9"/>
        <v/>
      </c>
      <c r="L58" s="1" t="str">
        <f t="shared" si="9"/>
        <v/>
      </c>
      <c r="M58" s="1" t="str">
        <f t="shared" si="9"/>
        <v/>
      </c>
      <c r="N58" s="1" t="str">
        <f t="shared" si="9"/>
        <v/>
      </c>
      <c r="O58" s="1" t="str">
        <f t="shared" si="9"/>
        <v/>
      </c>
      <c r="P58" s="1" t="str">
        <f t="shared" si="9"/>
        <v/>
      </c>
      <c r="Q58" s="1" t="str">
        <f t="shared" si="9"/>
        <v/>
      </c>
      <c r="R58" s="1" t="str">
        <f t="shared" si="9"/>
        <v/>
      </c>
      <c r="S58" s="1" t="str">
        <f t="shared" si="9"/>
        <v/>
      </c>
      <c r="T58" s="1" t="str">
        <f>IF(OR(T$14="",$E57=""),"",S57)</f>
        <v/>
      </c>
      <c r="U58" s="1" t="str">
        <f t="shared" ref="U58:AB59" si="10">IF(OR(U$14="",$E57=""),"",T58)</f>
        <v/>
      </c>
      <c r="V58" s="1" t="str">
        <f t="shared" si="10"/>
        <v/>
      </c>
      <c r="W58" s="1" t="str">
        <f t="shared" si="10"/>
        <v/>
      </c>
      <c r="X58" s="1" t="str">
        <f t="shared" si="10"/>
        <v/>
      </c>
      <c r="Y58" s="1" t="str">
        <f t="shared" si="10"/>
        <v/>
      </c>
      <c r="Z58" s="1" t="str">
        <f t="shared" si="10"/>
        <v/>
      </c>
      <c r="AA58" s="1" t="str">
        <f t="shared" si="10"/>
        <v/>
      </c>
      <c r="AB58" s="1" t="str">
        <f t="shared" si="10"/>
        <v/>
      </c>
      <c r="AC58" s="1" t="str">
        <f t="shared" si="6"/>
        <v/>
      </c>
      <c r="AD58" s="1" t="str">
        <f t="shared" si="7"/>
        <v/>
      </c>
    </row>
    <row r="59" spans="1:30" x14ac:dyDescent="0.25">
      <c r="T59" s="1" t="str">
        <f>IF(OR(T$14="",$E58=""),"",S58)</f>
        <v/>
      </c>
      <c r="U59" s="1" t="str">
        <f t="shared" si="10"/>
        <v/>
      </c>
      <c r="V59" s="1" t="str">
        <f t="shared" si="10"/>
        <v/>
      </c>
      <c r="W59" s="1" t="str">
        <f t="shared" si="10"/>
        <v/>
      </c>
      <c r="X59" s="1" t="str">
        <f t="shared" si="10"/>
        <v/>
      </c>
      <c r="Y59" s="1" t="str">
        <f t="shared" si="10"/>
        <v/>
      </c>
      <c r="Z59" s="1" t="str">
        <f t="shared" si="10"/>
        <v/>
      </c>
      <c r="AA59" s="1" t="str">
        <f t="shared" si="10"/>
        <v/>
      </c>
      <c r="AB59" s="1" t="str">
        <f t="shared" si="10"/>
        <v/>
      </c>
      <c r="AC59" s="1" t="str">
        <f t="shared" si="6"/>
        <v/>
      </c>
      <c r="AD59" s="1" t="str">
        <f t="shared" si="7"/>
        <v/>
      </c>
    </row>
    <row r="63" spans="1:30" x14ac:dyDescent="0.25">
      <c r="D63" t="str">
        <f>IF(A63&lt;&gt;"","Planned","")</f>
        <v/>
      </c>
    </row>
  </sheetData>
  <conditionalFormatting sqref="J15:AD18 A19:AD19 T20:AD23 A24:S57">
    <cfRule type="expression" dxfId="9" priority="1">
      <formula>$D11="Done"</formula>
    </cfRule>
    <cfRule type="expression" dxfId="8" priority="2">
      <formula>$D11="Ongoing"</formula>
    </cfRule>
  </conditionalFormatting>
  <conditionalFormatting sqref="A15:I18">
    <cfRule type="expression" dxfId="7" priority="3">
      <formula>$D15="Done"</formula>
    </cfRule>
    <cfRule type="expression" dxfId="6" priority="4">
      <formula>$D15="Ongoing"</formula>
    </cfRule>
  </conditionalFormatting>
  <conditionalFormatting sqref="A20:S22">
    <cfRule type="expression" dxfId="5" priority="5">
      <formula>$D17="Done"</formula>
    </cfRule>
    <cfRule type="expression" dxfId="4" priority="6">
      <formula>$D17="Ongoing"</formula>
    </cfRule>
  </conditionalFormatting>
  <conditionalFormatting sqref="T25:AD58">
    <cfRule type="expression" dxfId="3" priority="7">
      <formula>$D20="Done"</formula>
    </cfRule>
    <cfRule type="expression" dxfId="2" priority="8">
      <formula>$D20="Ongoing"</formula>
    </cfRule>
  </conditionalFormatting>
  <conditionalFormatting sqref="T24:AD24 A23:S23">
    <cfRule type="expression" dxfId="1" priority="9">
      <formula>#REF!="Done"</formula>
    </cfRule>
    <cfRule type="expression" dxfId="0" priority="10">
      <formula>#REF!="Ongoing"</formula>
    </cfRule>
  </conditionalFormatting>
  <dataValidations count="1">
    <dataValidation type="list" allowBlank="1" sqref="D3:D8 D15:D63" xr:uid="{64FC5A67-2FF4-4F29-A3A7-132EB2BDCDD6}">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0" t="s">
        <v>137</v>
      </c>
      <c r="B1" s="81">
        <v>1</v>
      </c>
      <c r="C1" s="82" t="s">
        <v>138</v>
      </c>
      <c r="D1" s="83" t="s">
        <v>139</v>
      </c>
      <c r="E1" s="83"/>
      <c r="F1" s="84"/>
    </row>
    <row r="2" spans="1:6" x14ac:dyDescent="0.25">
      <c r="A2" s="85" t="s">
        <v>140</v>
      </c>
      <c r="B2" s="86" t="s">
        <v>141</v>
      </c>
      <c r="C2" s="86"/>
      <c r="D2" s="86"/>
      <c r="E2" s="86"/>
      <c r="F2" s="87"/>
    </row>
    <row r="3" spans="1:6" x14ac:dyDescent="0.25">
      <c r="A3" s="88"/>
      <c r="B3" s="89"/>
      <c r="C3" s="89"/>
      <c r="D3" s="89"/>
      <c r="E3" s="89"/>
      <c r="F3" s="90"/>
    </row>
    <row r="4" spans="1:6" x14ac:dyDescent="0.25">
      <c r="A4" s="91"/>
      <c r="B4" s="92"/>
      <c r="C4" s="92"/>
      <c r="D4" s="92"/>
      <c r="E4" s="92"/>
      <c r="F4" s="93"/>
    </row>
    <row r="5" spans="1:6" x14ac:dyDescent="0.25">
      <c r="A5" s="94" t="str">
        <f>CONCATENATE("Responsible Person: ",'Sp1'!C15)</f>
        <v>Responsible Person: Julia McDowell, Hugo Baird &amp; Leon Hoogenraad</v>
      </c>
      <c r="B5" s="95"/>
      <c r="C5" s="95"/>
      <c r="D5" s="95"/>
      <c r="E5" s="95"/>
      <c r="F5" s="96"/>
    </row>
    <row r="6" spans="1:6" ht="26.4" x14ac:dyDescent="0.25">
      <c r="A6" s="97" t="s">
        <v>142</v>
      </c>
      <c r="B6" s="98">
        <v>5</v>
      </c>
      <c r="C6" s="99" t="s">
        <v>143</v>
      </c>
      <c r="D6" s="100"/>
      <c r="E6" s="99" t="s">
        <v>144</v>
      </c>
      <c r="F6" s="101"/>
    </row>
    <row r="9" spans="1:6" x14ac:dyDescent="0.25">
      <c r="A9" s="80" t="s">
        <v>137</v>
      </c>
      <c r="B9" s="81">
        <v>1</v>
      </c>
      <c r="C9" s="82" t="s">
        <v>138</v>
      </c>
      <c r="D9" s="83" t="s">
        <v>139</v>
      </c>
      <c r="E9" s="83"/>
      <c r="F9" s="84"/>
    </row>
    <row r="10" spans="1:6" x14ac:dyDescent="0.25">
      <c r="A10" s="85" t="s">
        <v>140</v>
      </c>
      <c r="B10" s="86" t="s">
        <v>145</v>
      </c>
      <c r="C10" s="86"/>
      <c r="D10" s="86"/>
      <c r="E10" s="86"/>
      <c r="F10" s="87"/>
    </row>
    <row r="11" spans="1:6" x14ac:dyDescent="0.25">
      <c r="A11" s="88"/>
      <c r="B11" s="89"/>
      <c r="C11" s="89"/>
      <c r="D11" s="89"/>
      <c r="E11" s="89"/>
      <c r="F11" s="90"/>
    </row>
    <row r="12" spans="1:6" x14ac:dyDescent="0.25">
      <c r="A12" s="91"/>
      <c r="B12" s="92"/>
      <c r="C12" s="92"/>
      <c r="D12" s="92"/>
      <c r="E12" s="92"/>
      <c r="F12" s="93"/>
    </row>
    <row r="13" spans="1:6" x14ac:dyDescent="0.25">
      <c r="A13" s="94" t="str">
        <f>CONCATENATE("Responsible Person: ",'Sp1'!C16)</f>
        <v>Responsible Person: Julia McDowell &amp; Carly Ryan</v>
      </c>
      <c r="B13" s="95"/>
      <c r="C13" s="95"/>
      <c r="D13" s="95"/>
      <c r="E13" s="95"/>
      <c r="F13" s="96"/>
    </row>
    <row r="14" spans="1:6" ht="26.4" x14ac:dyDescent="0.25">
      <c r="A14" s="97" t="s">
        <v>142</v>
      </c>
      <c r="B14" s="98">
        <v>7</v>
      </c>
      <c r="C14" s="99" t="s">
        <v>143</v>
      </c>
      <c r="D14" s="100"/>
      <c r="E14" s="99" t="s">
        <v>144</v>
      </c>
      <c r="F14" s="101"/>
    </row>
    <row r="17" spans="1:6" x14ac:dyDescent="0.25">
      <c r="A17" s="80" t="s">
        <v>137</v>
      </c>
      <c r="B17" s="81">
        <v>2</v>
      </c>
      <c r="C17" s="82" t="s">
        <v>138</v>
      </c>
      <c r="D17" s="83" t="s">
        <v>146</v>
      </c>
      <c r="E17" s="83"/>
      <c r="F17" s="84"/>
    </row>
    <row r="18" spans="1:6" x14ac:dyDescent="0.25">
      <c r="A18" s="85" t="s">
        <v>140</v>
      </c>
      <c r="B18" s="86" t="s">
        <v>147</v>
      </c>
      <c r="C18" s="86"/>
      <c r="D18" s="86"/>
      <c r="E18" s="86"/>
      <c r="F18" s="87"/>
    </row>
    <row r="19" spans="1:6" x14ac:dyDescent="0.25">
      <c r="A19" s="88"/>
      <c r="B19" s="89"/>
      <c r="C19" s="89"/>
      <c r="D19" s="89"/>
      <c r="E19" s="89"/>
      <c r="F19" s="90"/>
    </row>
    <row r="20" spans="1:6" x14ac:dyDescent="0.25">
      <c r="A20" s="91"/>
      <c r="B20" s="92"/>
      <c r="C20" s="92"/>
      <c r="D20" s="92"/>
      <c r="E20" s="92"/>
      <c r="F20" s="93"/>
    </row>
    <row r="21" spans="1:6" x14ac:dyDescent="0.25">
      <c r="A21" s="94" t="str">
        <f>CONCATENATE("Responsible Person: ",'Sp1'!C17)</f>
        <v>Responsible Person: Cedric Stephani &amp; Hugo Baird</v>
      </c>
      <c r="B21" s="95"/>
      <c r="C21" s="95"/>
      <c r="D21" s="95"/>
      <c r="E21" s="95"/>
      <c r="F21" s="96"/>
    </row>
    <row r="22" spans="1:6" ht="26.4" x14ac:dyDescent="0.25">
      <c r="A22" s="97" t="s">
        <v>142</v>
      </c>
      <c r="B22" s="98">
        <v>12</v>
      </c>
      <c r="C22" s="99" t="s">
        <v>143</v>
      </c>
      <c r="D22" s="100"/>
      <c r="E22" s="99" t="s">
        <v>144</v>
      </c>
      <c r="F22" s="101"/>
    </row>
    <row r="25" spans="1:6" x14ac:dyDescent="0.25">
      <c r="A25" s="80" t="s">
        <v>137</v>
      </c>
      <c r="B25" s="81">
        <v>2</v>
      </c>
      <c r="C25" s="82" t="s">
        <v>138</v>
      </c>
      <c r="D25" s="83" t="s">
        <v>146</v>
      </c>
      <c r="E25" s="83"/>
      <c r="F25" s="84"/>
    </row>
    <row r="26" spans="1:6" x14ac:dyDescent="0.25">
      <c r="A26" s="85" t="s">
        <v>140</v>
      </c>
      <c r="B26" s="86" t="s">
        <v>148</v>
      </c>
      <c r="C26" s="86"/>
      <c r="D26" s="86"/>
      <c r="E26" s="86"/>
      <c r="F26" s="87"/>
    </row>
    <row r="27" spans="1:6" x14ac:dyDescent="0.25">
      <c r="A27" s="88"/>
      <c r="B27" s="89"/>
      <c r="C27" s="89"/>
      <c r="D27" s="89"/>
      <c r="E27" s="89"/>
      <c r="F27" s="90"/>
    </row>
    <row r="28" spans="1:6" x14ac:dyDescent="0.25">
      <c r="A28" s="91"/>
      <c r="B28" s="92"/>
      <c r="C28" s="92"/>
      <c r="D28" s="92"/>
      <c r="E28" s="92"/>
      <c r="F28" s="93"/>
    </row>
    <row r="29" spans="1:6" x14ac:dyDescent="0.25">
      <c r="A29" s="94" t="str">
        <f>CONCATENATE("Responsible Person: ",'Sp1'!C18)</f>
        <v>Responsible Person: Leon Hoogenraad</v>
      </c>
      <c r="B29" s="95"/>
      <c r="C29" s="95"/>
      <c r="D29" s="95"/>
      <c r="E29" s="95"/>
      <c r="F29" s="96"/>
    </row>
    <row r="30" spans="1:6" ht="26.4" x14ac:dyDescent="0.25">
      <c r="A30" s="97" t="s">
        <v>142</v>
      </c>
      <c r="B30" s="98">
        <v>9</v>
      </c>
      <c r="C30" s="99" t="s">
        <v>143</v>
      </c>
      <c r="D30" s="100"/>
      <c r="E30" s="99" t="s">
        <v>144</v>
      </c>
      <c r="F30" s="101"/>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Release Plan</vt:lpstr>
      <vt:lpstr>Product Backlog</vt:lpstr>
      <vt:lpstr>PB Burndown</vt:lpstr>
      <vt:lpstr>Sp1</vt:lpstr>
      <vt:lpstr>Sp2</vt:lpstr>
      <vt:lpstr>Sp3</vt:lpstr>
      <vt:lpstr>Task Slips</vt:lpstr>
      <vt:lpstr>'Sp1'!DoneDays</vt:lpstr>
      <vt:lpstr>'Sp2'!DoneDays</vt:lpstr>
      <vt:lpstr>'Sp3'!DoneDays</vt:lpstr>
      <vt:lpstr>'Product Backlog'!Excel_BuiltIn_Print_Area</vt:lpstr>
      <vt:lpstr>'Sp1'!ImplementationDays</vt:lpstr>
      <vt:lpstr>'Sp2'!ImplementationDays</vt:lpstr>
      <vt:lpstr>'Sp3'!ImplementationDays</vt:lpstr>
      <vt:lpstr>ProductBacklog</vt:lpstr>
      <vt:lpstr>Sprint</vt:lpstr>
      <vt:lpstr>SprintCount</vt:lpstr>
      <vt:lpstr>SprintsInTrend</vt:lpstr>
      <vt:lpstr>'Sp1'!SprintTasks</vt:lpstr>
      <vt:lpstr>'Sp3'!SprintTasks</vt:lpstr>
      <vt:lpstr>SprintTasks</vt:lpstr>
      <vt:lpstr>Status</vt:lpstr>
      <vt:lpstr>StoryName</vt:lpstr>
      <vt:lpstr>'Sp1'!TaskRows</vt:lpstr>
      <vt:lpstr>'Sp2'!TaskRows</vt:lpstr>
      <vt:lpstr>'Sp3'!TaskRows</vt:lpstr>
      <vt:lpstr>'Sp1'!TaskStatus</vt:lpstr>
      <vt:lpstr>'Sp3'!TaskStatus</vt:lpstr>
      <vt:lpstr>TaskStatus</vt:lpstr>
      <vt:lpstr>'Sp1'!TaskStoryID</vt:lpstr>
      <vt:lpstr>'Sp3'!TaskStoryID</vt:lpstr>
      <vt:lpstr>TaskStoryID</vt:lpstr>
      <vt:lpstr>'Sp1'!TotalEffort</vt:lpstr>
      <vt:lpstr>'Sp2'!TotalEffort</vt:lpstr>
      <vt:lpstr>'Sp3'!TotalEffort</vt:lpstr>
      <vt:lpstr>'Sp1'!TrendDays</vt:lpstr>
      <vt:lpstr>'Sp3'!TrendDays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2020-04-27T00:54:30Z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